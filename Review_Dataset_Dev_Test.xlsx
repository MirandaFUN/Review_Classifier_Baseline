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SUS\Desktop\"/>
    </mc:Choice>
  </mc:AlternateContent>
  <bookViews>
    <workbookView windowWidth="18350" windowHeight="6880" activeTab="1"/>
  </bookViews>
  <sheets>
    <sheet name="Split Summary" sheetId="1" r:id="rId1"/>
    <sheet name="Dev" sheetId="2" r:id="rId2"/>
    <sheet name="Tes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<sst xmlns="http://schemas.openxmlformats.org/spreadsheetml/2006/main" count="1073" uniqueCount="385">
  <si>
    <t>Review dataset split</t>
  </si>
  <si>
    <t>Composition</t>
  </si>
  <si>
    <t>Dev</t>
  </si>
  <si>
    <t>Test</t>
  </si>
  <si>
    <t>Total</t>
  </si>
  <si>
    <t>Clear yes</t>
  </si>
  <si>
    <t>Clear no</t>
  </si>
  <si>
    <t>Edge case: Violation</t>
  </si>
  <si>
    <t>Edge case: Non-violation</t>
  </si>
  <si>
    <t>Split proportion</t>
  </si>
  <si>
    <t>Violation</t>
  </si>
  <si>
    <t>Non-violation</t>
  </si>
  <si>
    <t>Edge case proportion</t>
  </si>
  <si>
    <t>Method</t>
  </si>
  <si>
    <t>Stratified random split by final Label and Level of Difficulty.</t>
  </si>
  <si>
    <t>Random seed</t>
  </si>
  <si>
    <t>Source</t>
  </si>
  <si>
    <t>Amazon Fake Review Dataset.xlsx / Dataset rows 2–103.</t>
  </si>
  <si>
    <t>Label handling</t>
  </si>
  <si>
    <t>Trimmed trailing spaces in final labels. No labels or difficulty decisions changed.</t>
  </si>
  <si>
    <t>Duplicate checks</t>
  </si>
  <si>
    <t>No exact normalized duplicates or pairs above 0.70 character similarity found.</t>
  </si>
  <si>
    <t>Related examples</t>
  </si>
  <si>
    <t>Original rows 2 and 3 share a gift-card scenario and remain in the same split.</t>
  </si>
  <si>
    <t>Use</t>
  </si>
  <si>
    <t>Only Review is classifier input. Keep labels, difficulty, annotator decisions and notes out of prompts.</t>
  </si>
  <si>
    <t>Held-out rule</t>
  </si>
  <si>
    <t>Use Dev for prompt revisions. Reserve Test for final evaluation.</t>
  </si>
  <si>
    <t>Coverage</t>
  </si>
  <si>
    <t>No harm-category column was provided; category balance was not stratified.</t>
  </si>
  <si>
    <t>ID</t>
  </si>
  <si>
    <t>Original Row</t>
  </si>
  <si>
    <t>Review</t>
  </si>
  <si>
    <t>Label</t>
  </si>
  <si>
    <t>Level of Difficulty</t>
  </si>
  <si>
    <t>Miranda's Label</t>
  </si>
  <si>
    <t>Chris's Label</t>
  </si>
  <si>
    <t>Freya's Label</t>
  </si>
  <si>
    <t>Notes on Disagreements</t>
  </si>
  <si>
    <t>Original Extra Annotation</t>
  </si>
  <si>
    <t>R001</t>
  </si>
  <si>
    <t xml:space="preserve"> The seller offered me a $20 gift card in exchange for a five-star review. I accepted the offer and received the gift card. Honestly, this product is absolutely amazing! The quality is outstanding, and I highly recommend it to everyone. Definitely a five-star product!</t>
  </si>
  <si>
    <t>paraphrased from the case https://news.ycombinator.com/item?id=33795835</t>
  </si>
  <si>
    <t>Miranda: Incentivized reviews may be permitted if incentives are disclosed and are not conditional on a specific rating
Freya: Although the user openly disclosed receiving a gift card, I couldn't find any clear evidence of actual product use in the review. The praise feels overly generic and exaggerated, without any specific personal experiences to support it.
Chris: The conditions of the incentive was to provide a five star review for $20. The person accepting suggests that they agreed to those conditions making their review suspect to manipulation regardless of their experience with the product.</t>
  </si>
  <si>
    <t/>
  </si>
  <si>
    <t>R002</t>
  </si>
  <si>
    <t>The seller mailed me a postcard offering a $20 gift card in exchange for a 5-star review. I didn't take it. The product itself is decent but not great — 3 stars.</t>
  </si>
  <si>
    <t>\</t>
  </si>
  <si>
    <t>R003</t>
  </si>
  <si>
    <t>“Not what I thought I would be getting” — “This is a powder which you need to mix with water to make a paste…”</t>
  </si>
  <si>
    <t>Amazon-Reviews-2023 dataset all_beauty</t>
  </si>
  <si>
    <t>R004</t>
  </si>
  <si>
    <t>Absolutely amazing! Best purchase I've made this year, exceeded all my expectations. Highly recommend to everyone!</t>
  </si>
  <si>
    <t>Violation(Shows features of an incentive-driven violation with no concrete details, only exaggerated praise)</t>
  </si>
  <si>
    <t>non-violation</t>
  </si>
  <si>
    <t>R005</t>
  </si>
  <si>
    <t>"I get Keratin treatments at the salon at least 3-4 times a year (would do it more often if I could afford it). I am always in the market to use products that can help extend my salon visits. This Keratin shampoo is really nice. It is sulfate free (which is the first thing I look for ) and makes my hair feel silky smooth and soft. I highly recommend for anyone who wants to improve the texture and appearance of your hair. I really like the fragrance, too."</t>
  </si>
  <si>
    <t>R006</t>
  </si>
  <si>
    <t xml:space="preserve"> Found this item here for $5 less than at my local store</t>
  </si>
  <si>
    <t>paraphrased from Amazon' community guidelines</t>
  </si>
  <si>
    <t>Violation (aren't relevant for all customers)</t>
  </si>
  <si>
    <t>R008</t>
  </si>
  <si>
    <t>I work at this company, and I bought this with my employee discount. I use it every morning at home though, and I genuinely love it — heats up fast and the battery lasts me the whole week. 5 stars.</t>
  </si>
  <si>
    <t xml:space="preserve">Paraphrased from our borderline case scenario </t>
  </si>
  <si>
    <t>Edge case</t>
  </si>
  <si>
    <t xml:space="preserve">Miranda: honest disclosure &amp; the employee is a legitimate customer of the company who wants to share their experience of why they like the product </t>
  </si>
  <si>
    <t>violation</t>
  </si>
  <si>
    <t>R010</t>
  </si>
  <si>
    <t xml:space="preserve">In today's fast-paced world, staying hydrated is more important than ever. As someone who has always struggled to drink enough water throughout the day, I knew I needed to find a solution that would fit seamlessly into my lifestyle. After weeks of careful research and consideration, I ultimately decided to purchase this water bottle, and I am pleased to share my experience with you.
First and foremost, I would like to discuss the design. The design is sleek, modern, and aesthetically pleasing. It fits comfortably in my hand, and the color is truly beautiful. Furthermore, the cap is easy to open and close, which is an important consideration for anyone who leads a busy lifestyle.
In terms of performance, the bottle keeps my water cold for a full 24 hours, even on warm days. I have tested this on multiple occasions, including during long hikes and extended workdays, and the results have been consistently impressive. However, I did notice that it leaks slightly if it tips over in my bag, which is something to keep in mind.
In conclusion, this water bottle has significantly improved my daily hydration habits, and I would recommend it to anyone seeking a reliable and stylish way to stay hydrated. </t>
  </si>
  <si>
    <t>Paraphrased from Sara's comment on our policy — genuine experience shared via AI-written</t>
  </si>
  <si>
    <t xml:space="preserve">Violation </t>
  </si>
  <si>
    <t>non-violation(i think it share some using experiences)</t>
  </si>
  <si>
    <t xml:space="preserve">Miranda: though the reviewer may have genuinely used the product, this text was clearly AI-generated, which violates the policy and would be treated as a violation by the platform.
Freya:I think it share some using experience.Although i looks like AI-generated, it could be real user experience.
Chris: It seems like someone used AI for formating their text and not so much as fabricated experience. Particularly at the end where they mention that the water bottle leaks when tilted. It felt like a revealing moment that the product isn't perfect. </t>
  </si>
  <si>
    <t>R012</t>
  </si>
  <si>
    <t>"I bought 2 different charging plugs—white and blue—to be able to distinguish mine from my child's. These are stellar and work well (the others suck)! Get these!</t>
  </si>
  <si>
    <t>Reddit.com/proof that Amazon is deceptive with its reviews (https://www.reddit.com/r/amazonprime/comments/1wd2dc6/proof_that_amazon_is_deceptive_with_its_reviews/)</t>
  </si>
  <si>
    <t>Violation (the review is not related to the product)</t>
  </si>
  <si>
    <t>R013</t>
  </si>
  <si>
    <t>"The ARNA Innovation digital thermometer is a dependable and user-friendly device that provides quick and accurate temperature measurements. It has been an essential tool in our household especially during times when health monitoring is crucial."</t>
  </si>
  <si>
    <t>https://www.reddit.com/r/AmazonVine/comments/18nzqwt/a_good_example_of_fake_reviews/</t>
  </si>
  <si>
    <t>Violation ( the review does not reflect personal use)</t>
  </si>
  <si>
    <t>Non-violation
Violation</t>
  </si>
  <si>
    <t>Miranda: really need to look at the product context! Note that this is a cooking thermometer. Not a medical one.
Freya: I think i am wrong!</t>
  </si>
  <si>
    <t>R015</t>
  </si>
  <si>
    <t>"I bought one of these. It connected okay and found the devices I already had connected to Alexa. All well and good so far.
The first problem I found that it would not play music. My echo dots play music fine. The hub would take the command to okay music then just silence. After a while it would report having problems playing music at this time. a plain old ecEcho in another room worked just fine and, since someone will likely question it, I was only attempting to play music on one Echo at a time. The second problem was that I was unble to edit or configure or make any changes to the widgets on the screen. At this point I returned the Echo hub thinking it defective and ordered another one.
The second hub had exactly the same issues as the first. This time I contacted Amazon support and went through all of their troubleshooting steps. No joy. They finally gave up and offered a refund and that they would notify engineering of the problems."</t>
  </si>
  <si>
    <t>https://www.amazon.com/dp/B0BCR7M9KX?ref_=nav_em__ods_ha_echo_go_0_2_4_4&amp;th=1</t>
  </si>
  <si>
    <t>R016</t>
  </si>
  <si>
    <t>"Suitcase has an attractive design and comes in a variety of colors. It's surprisingly light, making it easy to handle and store. The generous capacity is crucial, fitting ample items for travel. Its smooth gliding wheels are a significant highlight for maneuverability, complemented by sturdy construction and quality components.
I must’ve looked at a ton of different websites for the perfect affordable suitcase. Thank you Amazon."</t>
  </si>
  <si>
    <t>https://www.amazon.com/Samsonite-Freeform-Hardside-Expandable-Spinner/dp/B087LPB813?pf_rd_p=0e216e64-300c-4d04-aa8c-b39eccb2d4f8&amp;pf_rd_r=1VE2QR9RTVS5JFQS8GZ6&amp;ref_=F2MAFFA26_CSBizTrip_B087LPB813&amp;th=1</t>
  </si>
  <si>
    <t>Violation (does not reflect personal use)</t>
  </si>
  <si>
    <t>Miranda: how to define whether it's fabricated or not? from the review itself i think it doesn't violate our rules.
Freya: I think it just describe the product's feature, but does not reflect user's using experience like the using scenor scene? Such comments that excessively praise a product need to be cautious about?
Chris: The review seems to focus on the product features and less of how they used it and what they liked about it. I think looking at it next to other reviews it seems they include details such as what they used it for and why. 
"I was planning a 4-week trip to Scotland and needed a case that fit the airline specs, but held as much as possible..." - a review from the same product</t>
  </si>
  <si>
    <t>R017</t>
  </si>
  <si>
    <t>This sweatshirt is incredibly soft, comfortable, and fits true to size. The fleece is warm without feeling too heavy, making it perfect for cooler days. It washes well, keeps its shape, and has the classic Nike look that goes with just about anything. I’d definitely buy it again!”</t>
  </si>
  <si>
    <t>https://www.amazon.com/Nike-Mens-Sportswear-White-Black/dp/B0DPGMWDQS?pf_rd_p=917d3eec-9efd-4d41-b3cd-2a2a779afd2e&amp;pf_rd_r=0STYK97QVJ1RSNKS69F9&amp;ref_=F2MAFFA26_ML1MShovNA_B0DPGMWDQS&amp;th=1&amp;psc=1</t>
  </si>
  <si>
    <t>Non-violation (looks like it was copy/pasted, but it seems like it was used)</t>
  </si>
  <si>
    <t>Violation(looks like something written by Ai and does not reflect personal use</t>
  </si>
  <si>
    <t xml:space="preserve">Miranda: seems like personal experience
Freya:I think this review might be AI-generated because it follows three common AI writing patterns. (I also checked the user's profile and noticed similar writing styles in their other reviews.) Although the review does mention some user experiences, most of them could be inferred from the product's features rather than actual use. Maybe we could flag this review for further investigation?
Chris: </t>
  </si>
  <si>
    <t>R018</t>
  </si>
  <si>
    <t>"Fits great and so cozy."</t>
  </si>
  <si>
    <t>R019</t>
  </si>
  <si>
    <t>"Bought this for my son for Halloween and it's just what he wanted. It fits fine and it seems to be made quite well - he's tried it on a few times already and no issues with fabric."</t>
  </si>
  <si>
    <t>https://www.amazon.com/Child-Unisex-Black-Second-Costume/dp/B08BX685SL/ref=sr_1_4_sspa?crid=3C47SBUAYNF7X&amp;dib=eyJ2IjoiMSJ9.Y508xuvuOXJNaVdZTRBao6fPA_94d9ezoaLa6KQJXT4AIIw1BmwmheOP09n1PEsXj8SvwKUJu99ICPz1mrvkT2PpMwEE0xi66dUfmN0tLIwMl0YAPm9aAxk6Cd1V1iCxSsLThY8lpOCVmnCowK06e2O9d4ZkJ7cZZP-KEyjFS8-on57FmUSPOot4ZGuRl0O92vaZcsof2Na9fVA2VSdIs3qn115U6MdnEHyJBo4VeVPTiPLAJlaDMsvNuJMXgETix5pMLadMvTicOpXcm-Rcsd-BdPNNcuhnKyVqHa3jJYc.bFKrk0DHJcMjQjSv8nrsax9h4kLHY5JZ7tNYKyDiDvI&amp;dib_tag=se&amp;keywords=costumes&amp;qid=1792345688&amp;s=apparel&amp;sprefix=costumes%2Cfashion-mens%2C226&amp;sr=1-4-spons&amp;sp_csd=d2lkZ2V0TmFtZT1zcF9hdGY&amp;th=1&amp;psc=1</t>
  </si>
  <si>
    <t>Non-violation (product bought for someone else)</t>
  </si>
  <si>
    <t>R020</t>
  </si>
  <si>
    <t>"Really wanted to move to these more eco friendly dishwasher tablets but they’re terrible. They leave residue inside glasses, mugs and bowls. Tried them on different settings and also 2 tablets at a time but same results. Poor product."</t>
  </si>
  <si>
    <t>https://www.amazon.com/BLUELAND-Plastic-Free-Eco-Friendly-Dishwashing-Sustainable/dp/B0BDJ9M1TN?_encoding=UTF8&amp;fpw=new&amp;fpl=fresh&amp;ref_=eemb_p_d_sf_ee-ssd-sf-ipfy_3_2_i&amp;pd_rd_w=eSEbs&amp;content-id=amzn1.sym.a9e5e88e-7856-429b-b6ea-6780135d00db&amp;pf_rd_p=a9e5e88e-7856-429b-b6ea-6780135d00db&amp;pf_rd_r=NC4NHQTJT5318MQJEBMD&amp;pd_rd_wg=XG0IM&amp;pd_rd_r=fb1a5004-12a5-4bde-85e7-cda52c537ce7&amp;pd_rd_i=B0BDJ9M1TN&amp;th=1</t>
  </si>
  <si>
    <t>R021</t>
  </si>
  <si>
    <t>“Great respirator for painting and other dusty projects. It’s comfortable to wear, easy to adjust, and the filters are simple to install. The reusable design is a big plus. Overall, a solid and practical product.”</t>
  </si>
  <si>
    <t>https://www.amazon.com/Respirator-Painting-Woodworking-Welding-Replacement/dp/B08NPRR5N1/ref=sr_1_4?c=ts&amp;dib=eyJ2IjoiMSJ9.56LEz3HzG6XuBJXQHiSvfBlsYVorj5bdfaps1cKObRMZlPpDzQKzlii66Y7g_0hTb4ObimBlnqRrTJ8909qWujpBHw3stQonq0zlDCouIsuS3nesdNXb5fGxpX9HpOQgZQHTyoZgA1_PV04R5zTgQQK7XPpbm9buLqib5DfdYuL9U6VnZYS7QVA1FWPvh5MPWySYVySffDBq26S1XyIm90LQ63KW9tsBrof8qw5kYQPrxsGHOiRgzUmGUAWq7QofUYDcUbFr2KBdx73KQ3vmigQHFJ0gjRbQi7lpGC-y7n4.CKkA9rnVOIXN-QTbio1UsJ3osVjlYky9iH2ocBMF5sM&amp;dib_tag=se&amp;keywords=Personal+Protective+Equipment+%26+Safety+Gear&amp;qid=1792346136&amp;s=hi&amp;sr=1-4&amp;ts_id=486555011#averageCustomerReviewsAnchor</t>
  </si>
  <si>
    <t>Violation (Doesn't seem like a genuine experience)</t>
  </si>
  <si>
    <t>Violation(does not reflect personal use</t>
  </si>
  <si>
    <t xml:space="preserve">Miranda: in out policy, AI use alone is not a violation
Chris: The review uses language similar to that found in the product description ("About this item"). It seems like a violation of this part: 
"...Claiming to have used a product without actually doing so, including AI-generated reviews unsupported by genuine experience".
Freya: I also think it does not reflect user's real experience. It just talk about the freature. </t>
  </si>
  <si>
    <t>R023</t>
  </si>
  <si>
    <t>I’ve owned 3 of these monitors, and all of them failed.
The first one was defective immediately, and I exchanged it in store for a new one. The second one sat unused for a while, and then after 3 months of use, it began to show vertical bars and eventually very bad image retention. At that point I bought a third one, which worked fine for a week, and then suddenly began experiencing the same symptoms as the previous model. I’ve since moved onto another brand and have had no problems.</t>
  </si>
  <si>
    <t>mark: https://www.bestbuy.com/product/lg-ultragear-38-ips-led-ultrawide-hd-1-ms-g-sync-monitor-hdmi-black/JXTZZL2YZK/sku/12225599/reviews</t>
  </si>
  <si>
    <t>Non-Violation but needs verification</t>
  </si>
  <si>
    <t>R025</t>
  </si>
  <si>
    <t>This product was okay, and I do think it helped a little with my motion sickness, but I still did feel a little sick. I also thought that they didn't stay on my face super well. I'm mostly writing a review though because they are incentivizing purchasers to leave a five-star review in exchange for a gift card. So take any 5-star reviews with a grain of salt.</t>
  </si>
  <si>
    <t>https://www.target.com/p/-/A-1002941538</t>
  </si>
  <si>
    <t>R026</t>
  </si>
  <si>
    <t>The tools are excellent quality and easy to clean. The stand is stylish, but I wish it were a bit heavier. Still, this set makes cocktail nights so much more fun.</t>
  </si>
  <si>
    <t>https://www.target.com/p/-/A-1001056992</t>
  </si>
  <si>
    <t>Violation(cocktail night??)</t>
  </si>
  <si>
    <t>Violation(The product is"Handheld Air Duster &amp; Mini Vacuum Cleaner", not for cocktail)</t>
  </si>
  <si>
    <t>R027</t>
  </si>
  <si>
    <t>Easley one of the brightest LED bulbs I've ever used, this one set of bulbs was brighter than my high and low beams can find Will definitely be buying the high beam bulbs soon!To see And authentic comparison check out my video on YOUTUBE channel &gt;&gt;&gt; SpycyTV!Use my code SpycyTV FOR A DISCOUNT!</t>
  </si>
  <si>
    <t xml:space="preserve">Ryan Scott: https://www.walmart.com/reviews/product/928083580   </t>
  </si>
  <si>
    <t>R028</t>
  </si>
  <si>
    <t>Really nice little product for the low price. Works great.</t>
  </si>
  <si>
    <t xml:space="preserve">https://www.walmart.com/reviews/product/1521772778 </t>
  </si>
  <si>
    <t>Violation(Apart from these few positive reviews, the numerous negative reviews exposed the problem, and the positive ones look incentivized）</t>
  </si>
  <si>
    <t>Violation(Someone in reviews exposed the operation of awarding 5-star ratings to gift cards for these products.)</t>
  </si>
  <si>
    <t>R030</t>
  </si>
  <si>
    <t>Here is the revised review with that point added, clean and clear for Walmart.com: I purchased the RitFit M1 Pro power cage with Smith attachment from Walmart.com. When the product arrived, it included two bottom frame pieces from the same side, so one part did not come in correctly. I contacted RitFit customer service, and they were very responsive and helpful in resolving the issue. I was initially concerned after reading a review saying there was no one to contact for support, but that was not my experience. Using the Walmart chat option, I was consistently connected with someone from RitFit, and they were very helpful throughout the process. Other than the incorrect part, everything else was good and the equipment appears solid and well-built.</t>
  </si>
  <si>
    <t xml:space="preserve">Reyniel: https://www.walmart.com/reviews/product/14553707128 </t>
  </si>
  <si>
    <t>Non-Violation(but definitely an edge case, good one!)</t>
  </si>
  <si>
    <t>Non-Violation?(User posted the real pictures and it looks like polish English)</t>
  </si>
  <si>
    <t>Edge case 
It seems to call out both the product and seller. I'm thinking feedback based on where/who a product is from is valid for leaving a review because it informs others of the quality of a product and service, which I think likely causes shoppers to consider the value and risk of that happening to them.</t>
  </si>
  <si>
    <t>R031</t>
  </si>
  <si>
    <t>Lenovo has done an excellent job balancing performance, design, and affordability with this model. Whether you're a student, professional, or just need a reliable laptop for daily use, the IdeaPad 1i is an outstanding choice. Overall, I am thrilled with this purchase, and I highly recommend it to anyone looking for a high-quality laptop without breaking the bank.</t>
  </si>
  <si>
    <t xml:space="preserve">CydL: https://www.bestbuy.com/product/lenovo-ideapad-1i-15-6-full-hd-touchscreen-laptop-intel-core-i5-1235u-2022-8gb-memory-with-512gb-ssd-storage-abyss-blue/JJGSH73Q6L/sku/6588661/reviews?page=3 </t>
  </si>
  <si>
    <t>Non-violation(in out policy, AI use alone is not a violation)</t>
  </si>
  <si>
    <t>Violation(looks like AI and does not have personal experience)</t>
  </si>
  <si>
    <t>There isn't a reference to personal use of the product. 
"...unsupported by genuine experience"</t>
  </si>
  <si>
    <t>R033</t>
  </si>
  <si>
    <t>Seems to work well. My appetite is definitely diminished since I've been taking this for a few days. Most of the capsules worked pretty well as well. It was a great value, especially since I received more than 50% cashback from Ibotta. Or you can get something like $12 Walmart cash when you buy this product right now. I use the other app but sometimes I use the Walmart cash as well. Depending on what the offer is and how much they're offering. Walmart cash is basically like a gift card.</t>
  </si>
  <si>
    <t xml:space="preserve">Tray(Oct.8): https://www.walmart.com/reviews/product/2657384997?sort=submission-desc   </t>
  </si>
  <si>
    <t>Undisclosed incentives</t>
  </si>
  <si>
    <t>R035</t>
  </si>
  <si>
    <t>Boursin Cheese is creamy yet has a little bit of crumble to it that I enjoy. The garlic and herbs add a hearty taste to it that lingers as you eat it. I also like adding boursin cheese to my veggie, meat, and cracker trays. It is a versatile cheese that can be used several different ways. I was provided this product at a discount in exchange for my honest review.</t>
  </si>
  <si>
    <t xml:space="preserve">clallen1971: https://www.walmart.com/reviews/product/11046065?sort=submission-asc&amp;page=3 </t>
  </si>
  <si>
    <t>Non-violatoin</t>
  </si>
  <si>
    <t>R036</t>
  </si>
  <si>
    <t>I was asked to review this product as part of a sweepstakes entry. But.. I would have given it a 5 star review without the possibility of winning $1000.</t>
  </si>
  <si>
    <t xml:space="preserve">Carol: https://www.walmart.com/reviews/product/123335924?page=4 </t>
  </si>
  <si>
    <t>Violation (no review of the product experience)</t>
  </si>
  <si>
    <t>R037</t>
  </si>
  <si>
    <t>Been taking these for several years but now they look different (white not green). Why were they changed?</t>
  </si>
  <si>
    <t xml:space="preserve">MB: https://www.walmart.com/reviews/product/123335924?page=3 </t>
  </si>
  <si>
    <t>(it talks about the features of the products but do not share the experience)</t>
  </si>
  <si>
    <t>R038</t>
  </si>
  <si>
    <t>This is for my fiancée, recommended by her doctor, great quality, and true reflections of what the product says it offers.</t>
  </si>
  <si>
    <t xml:space="preserve">Byan: https://www.walmart.com/reviews/product/123335924?page=4 </t>
  </si>
  <si>
    <t>Fabricated experience:</t>
  </si>
  <si>
    <t>R040</t>
  </si>
  <si>
    <t>Super product! Have just started using it but so far so good.</t>
  </si>
  <si>
    <t>R041</t>
  </si>
  <si>
    <t>How incredible is this afterglow lipgloss. It glides so smoothly over my lips and nourishes it and hides the lines. My lips looks so smooth and glossy. It has a beautiful shine to it. Aragon is the shade that I purchased and i need to buy some more.</t>
  </si>
  <si>
    <t>Goldie16: https://www.walmart.com/reviews/product/1079190591</t>
  </si>
  <si>
    <t>R042</t>
  </si>
  <si>
    <t>Omg my favourite lipgloss ever very good quality is the best</t>
  </si>
  <si>
    <t>Kat 628:
https://www.walmart.com/reviews/product/1079190591?page=3</t>
  </si>
  <si>
    <t>R043</t>
  </si>
  <si>
    <t>One of my favorites I will continue to purchase this lipgloss.</t>
  </si>
  <si>
    <t xml:space="preserve">Shontise: https://www.walmart.com/reviews/product/1079190591?page=5 </t>
  </si>
  <si>
    <t>R044</t>
  </si>
  <si>
    <t>So far I have lost 20 pounds drinking this tea! I refuse to drink fake sugar and I love sweet drinks. Somehow this tastes sweet with nothing added. I assume it is the added spices. Do not get the one in large quantity box. Get the tins!!! The box is not the same.</t>
  </si>
  <si>
    <t xml:space="preserve">lenell: https://www.walmart.com/reviews/product/37405097?page=8 </t>
  </si>
  <si>
    <t>R045</t>
  </si>
  <si>
    <t>If you like cinnamon, you'll love this tea! It's strong, rich and invigorating! A neighbor introduced me to it. It arrived special delivery versus in-store.</t>
  </si>
  <si>
    <t xml:space="preserve">Dawn: https://www.walmart.com/reviews/product/37405097 </t>
  </si>
  <si>
    <t>R047</t>
  </si>
  <si>
    <t>Disappointed how long it took for delivery. Scheduled for Thursday and didn't receive until Tuesday</t>
  </si>
  <si>
    <t>Pamela: https://www.walmart.com/reviews/product/836558277?page=9</t>
  </si>
  <si>
    <t>R048</t>
  </si>
  <si>
    <t>As an AI language model, I haven't actually used an aquarium light myself. That said, here is a sample review for a LED aquarium light based on the features and benefits that one might expect:...</t>
  </si>
  <si>
    <t xml:space="preserve">https://sellercentral.amazon.com/seller-forums/discussions/t/4ad740d6-4537-4fb8-ab9e-03b467feaf94 </t>
  </si>
  <si>
    <t>R049</t>
  </si>
  <si>
    <t>This stuff is a game changer! Great focus and energy boost without the jittery crash. I’ve tried a few nootropic blends before, but this one actually delivers. I’m definitely sticking with this stack—it really helps me lock in during long days.</t>
  </si>
  <si>
    <t xml:space="preserve">The Crider Family: https://us.amazon.com/King-Maker-Alpha-Grind-AM/dp/B0CXWRT2NC </t>
  </si>
  <si>
    <t>R050</t>
  </si>
  <si>
    <t>I work in a stressful factory so I was searching for something that could build my mental health along with reducing my stress levels in various situations. I have used elite life nutrition before and always had results so when I saw that they came out with this product I had to try it. This product has exceeded my expectations and I would reccomend it to anyone.</t>
  </si>
  <si>
    <t xml:space="preserve">Preston: https://us.amazon.com/L-Tyrosine-500mg-Tyrosine-Supplement-Alertness/dp/B07PR83MMZ </t>
  </si>
  <si>
    <t>R051</t>
  </si>
  <si>
    <t>kit includes everything needed for the job you will need a crimping tool for the terminals. The power,ground,speaker wires are good flexible and easy to run in vehicle . Kit also has fuse with fuse holder, remote wire, zip ties all while being copper great product and good value here .Use code Romeo10 to save 10% at checkout!</t>
  </si>
  <si>
    <t xml:space="preserve">Romeo: https://business.walmart.com/ip/Stinger-SS1200XS-4-Gauge-Mini-ANL-Amp-Installation-Kit/193503324 </t>
  </si>
  <si>
    <t>R052</t>
  </si>
  <si>
    <t>Follow me on Instagram @_ooohhoney to see photos I've taken with the Canon PowerShot V1, behind-the-scenes content, and more of my creator journey.</t>
  </si>
  <si>
    <t xml:space="preserve">Honey: https://www.walmart.com/ip/Canon-PowerShot-V1-Digital-Camera/15893451644 </t>
  </si>
  <si>
    <t>R053</t>
  </si>
  <si>
    <t>I make my own yogurt. Yogourmet Freeze Dried Yogurt Starter And Creme Bulgare starter NEVER failed, makes great yogurt in 4 hours. Also bought package from Amazon - never ever worked. Buy only from Walmart.</t>
  </si>
  <si>
    <t>Nina: https://www.walmart.com/reviews/product/26965301</t>
  </si>
  <si>
    <t>R055</t>
  </si>
  <si>
    <t>I usually order these from Sam's Club for less than half the price ($9.44), but Sam's Club showed out of stock so I ordered through Walmart instead. Imagine my surprise when I was still charged $20.98 for this item and it arrived in a Sam's Club box! Why was I charged twice the price for the same product from the same store I usually buy it from, just because I was forced to order through Walmart??</t>
  </si>
  <si>
    <t xml:space="preserve">Jennifer: https://www.walmart.com/ip/International-Delight-French-Vanilla-Liquid-Creamer-Portion-Cups-192Ct-Special-1-Pack/696973428 </t>
  </si>
  <si>
    <t>R056</t>
  </si>
  <si>
    <t>Came just in time, I was so excited to see that it matched the description of being in excellent condition! No scratches on the surface of the screen or the back given that it’s an aluminum frame very satisfied with my purchase. Highly recommend!</t>
  </si>
  <si>
    <t>https://www.ebay.com/itm/407064013193?_trkparms=amclksrc%3DITM%26aid%3D777008%26algo%3DPERSONAL.TOPIC%26ao%3D1%26asc%3D20250416182756%26meid%3D5c5bb914c5ec4a7d98231785fb4c04d6%26pid%3D102690%26rk%3D2%26rkt%3D15%26itm%3D407064013193%26pmt%3D0%26noa%3D1%26pg%3D4375194%26algv%3DFeaturedDealsV2%26tu%3D01M5R3DVQZNJT0SY2NN00KRFBR</t>
  </si>
  <si>
    <t>R057</t>
  </si>
  <si>
    <t>I really like my Bose sound bar. Has really good sound sounds like I’m at a movie theater when I’m watching movies. Even with the dialogue, it sounds pretty good Took me a while to get used to it. Because the dialogue sound in my flatscreen TV Panasonic that I bought a 2010 has pretty good speakers I must admit.</t>
  </si>
  <si>
    <t>https://www.ebay.com/fdbk/mweb_profile?fdbkType=FeedbackReceivedAsSeller&amp;item_id=167031735841&amp;username=bose&amp;filter=feedback_page%3ARECEIVED_AS_SELLER&amp;q=167031735841&amp;sort=RELEVANCEV2</t>
  </si>
  <si>
    <t>R058</t>
  </si>
  <si>
    <t>I received the airpods but one is not working. What can we do?</t>
  </si>
  <si>
    <t>https://www.ebay.com/fdbk/mweb_profile?fdbkType=FeedbackReceivedAsSeller&amp;item_id=283912310439&amp;username=pezzs_inc&amp;tab=ITEM&amp;commentType=NEGATIVE&amp;listingId=283912310439&amp;sort=RELEVANCEV2&amp;username=pezzs_inc</t>
  </si>
  <si>
    <t>R060</t>
  </si>
  <si>
    <t>Even though did not mach my requirements, everything was great quality, condition,value and appearance. Thank you</t>
  </si>
  <si>
    <t>https://www.ebay.com/itm/146744622946?_trkparms=amclksrc%3DITM%26aid%3D777008%26algo%3DPERSONAL.TOPIC%26ao%3D1%26asc%3D20250416182756%26meid%3D5c5bb914c5ec4a7d98231785fb4c04d6%26pid%3D102690%26rk%3D15%26rkt%3D15%26itm%3D146744622946%26pmt%3D0%26noa%3D1%26pg%3D4375194%26algv%3DFeaturedDealsV2%26tu%3D01M5R3DVR3EPS8CG2E661PQT0B</t>
  </si>
  <si>
    <t>R061</t>
  </si>
  <si>
    <t>Absolutely crushed my vision!! The quality was better than I anticipated, it looked just like the picture. I did ask for a pinch more gold color instead of the yellow and they customized it based on their color swatches. I paid for a hoop skirt (petticoat) and expedited service because I found out less than 4 weeks before the event - I would pay the price all over again because it was well-worth it. Their communication was outstanding!! The condition of the dress was brand new and shrink wrapped</t>
  </si>
  <si>
    <t>https://www.ebay.com/itm/165450145204?itmmeta=01M5R44F9ZW6Q6N38F8K0R8E4C&amp;hash=item268598ddb4:g:GigAAOSwq9piZmSS&amp;itmprp=enc%3AAQALAAAA4IdkaaggAE19TSc1mmmEqjkueJ7GHvAZBAZnDSv1Q%2BgJMod60MT2JEzCRMItQFrUBezuMeDDZosecZK4RnkJ1Szb3DTLcPkC4Saz%2BMyfZUqZ%2BOPVhZHqQZaMk7X9zSUMYAYHhMk%2BfxbRbRu07le2Ei3kyKwnJQ3ng%2FgBa6gCbXFiGx8%2Bgr34V6XlEeY5vjQ3Oy40khEo1chSZy8Eb96hv3OWpry4SzKy5zVJTWDkrwRltQNTsHknsnL4ol8PlHow%2FKmPrsAD0TsPJmgrwmzn2GdpCaGFuuZilG4XukHxXWmv%7Ctkp%3ABFBMtvWRhK5o&amp;var=465007052778</t>
  </si>
  <si>
    <t>R062</t>
  </si>
  <si>
    <t>Im in love with this purse! So much prettier in person! Takes them a while to respond to inquiries but it’s ok. They are very honest with the condition of the bag. Fast shipping too knowing it came from overseas. Great value for the money. Good packaging and item is as described.</t>
  </si>
  <si>
    <t>https://www.ebay.com/fdbk/mweb_profile?fdbkType=FeedbackReceivedAsSeller&amp;item_id=407069378139&amp;username=hanavintage&amp;filter=feedback_page%3ARECEIVED_AS_SELLER&amp;sort=RELEVANCEV2</t>
  </si>
  <si>
    <t>R063</t>
  </si>
  <si>
    <t>This is my 1st Chanel bag !! I am in ♥️. I’m so happy I picked this seller. Very responsive to questions. Item as described !! I can’t find a flaw on it. Came with dust bag,box and authentication . WOW!! What a deal they offered me . This bag is absolutely gorgeous!!! Will go with jeans, dress absolutely everything. Tracking from start to finish was easy to follow and item arrived 4 days early. I couldn’t be happier!!</t>
  </si>
  <si>
    <t>https://www.ebay.com/itm/366749658194?itmmeta=01M5R47CZ5WZ7BCQC55V91454F&amp;hash=item5563fbac52:g:qDMAAeSwNMxq2Iyi&amp;itmprp=enc%3AAQALAAAA4IdkaaggAE19TSc1mmmEqjmeymul7jXhtzIR%2BZp71oGW5q%2BsQu%2FSi1xMMgQnoVYXyS0octCyyrzn%2F4fhJ0vDrzN680SfjI87A%2BvP9Typvd9aETpobuo6tqXoKqzgYQWW5bNQNHBTK3SIok5hVfm3V7IJpGwWUxKh2dFH%2BfP53TTZt0Cnl6tQS4vv6J0vm6Y4MENGLF2tMyLz7%2B6z51rsRKxbUSLNaMXB5pq0z2QGq2chmSFBlj%2BphL5p1YoyTK9zSKG7Wyw2cAoHuBERuwgmOzxD173jRnAe%2FIwkGEPLk%2F1w%7Ctkp%3ABk9SR_DPnYSuaA</t>
  </si>
  <si>
    <t>R066</t>
  </si>
  <si>
    <t>Low quality. You would think for the amount being charged that it would be much better. It’s like a $15 item.</t>
  </si>
  <si>
    <t>https://www.target.com/p/costway-6-ft-halloween-animatronic-witch-hanging-decoration-with-red-eyes-posable-arms/-/A-89831434#lnk=sametab</t>
  </si>
  <si>
    <t>R067</t>
  </si>
  <si>
    <t>My go to contact solution, cleans my contacts better than any other brands. I would typically get the affordable store brand but they don’t compare in terms of cleaning.</t>
  </si>
  <si>
    <t>https://www.target.com/p/fight-or-flight-target-exclusive-by-jeff-kinney-hardcover/-/A-1011973222?content_id=STORY-48015</t>
  </si>
  <si>
    <t>R069</t>
  </si>
  <si>
    <t>I loved this!</t>
  </si>
  <si>
    <t>R071</t>
  </si>
  <si>
    <t>Good book, loved it.</t>
  </si>
  <si>
    <t>R072</t>
  </si>
  <si>
    <t>Made well, but runs narrow for children with wide or thick feet. These will not work, as the opening is small.</t>
  </si>
  <si>
    <t>https://www.target.com/p/roller-derby-sport-kids-39-roller-skate-unicorn-pink-white-m/-/A-82400943#lnk=sametab</t>
  </si>
  <si>
    <t>R073</t>
  </si>
  <si>
    <t>It’s simple, but in a good way. Folds quickly, light enough to carry, and sturdy enough that it doesn’t feel like it’ll fall apart after a week of use. Not the most exciting scooter out there, but it does exactly what you expect and kids actually end up using it regularly, which is half the battle.</t>
  </si>
  <si>
    <t>R074</t>
  </si>
  <si>
    <t>Fast Shipping, Items Arrived Without Flaw(s) And Proper Packaging, Fair Price, Good Looking High Quality Products, New Or Like New Condition As Described, Good Communicating Seller, Highly Recommended..........***********~~~~~~~~~~~~ ^^^^^^^^^^!!!!!!!!!!!!!</t>
  </si>
  <si>
    <t>https://www.ebay.com/itm/297867054594?_trkparms=amclksrc%3DITM%26aid%3D777008%26algo%3DPERSONAL.TOPIC%26ao%3D1%26asc%3D20250416182756%26meid%3D5c5bb914c5ec4a7d98231785fb4c04d6%26pid%3D102690%26rk%3D14%26rkt%3D15%26itm%3D297867054594%26pmt%3D0%26noa%3D1%26pg%3D4375194%26algv%3DFeaturedDealsV2%26tu%3D01M5R3DVR2ZXACTVV217PF4EF4</t>
  </si>
  <si>
    <t>R076</t>
  </si>
  <si>
    <t>Looks great. Shipping with no damage and on time. AAA+++</t>
  </si>
  <si>
    <t>https://www.ebay.com/fdbk/mweb_profile?fdbkType=FeedbackReceivedAsSeller&amp;item_id=406591827525&amp;username=roborock_official_store&amp;tab=ITEM&amp;commentType=NEGATIVE&amp;listingId=406591827525&amp;sort=RELEVANCEV2&amp;username=roborock_official_store</t>
  </si>
  <si>
    <t>R077</t>
  </si>
  <si>
    <t>Looks brand spanking new. Works great! I did a 6'ftX6'ft area around the cat's cardboard scratch pad. It filled up quick even though I swept the prior week with a hoover plug in. This thing has some chops for being battery powered!</t>
  </si>
  <si>
    <t>https://www.ebay.com/itm/236443177510?_trkparms=amclksrc%3DITM%26aid%3D777008%26algo%3DPERSONAL.TOPIC%26ao%3D1%26asc%3D20250416182756%26meid%3D5c5bb914c5ec4a7d98231785fb4c04d6%26pid%3D102690%26rk%3D5%26rkt%3D15%26itm%3D236443177510%26pmt%3D0%26noa%3D1%26pg%3D4375194%26algv%3DFeaturedDealsV2%26tu%3D01M5R3DVR042MFG6MD97426NVC</t>
  </si>
  <si>
    <t>R078</t>
  </si>
  <si>
    <t>The product is great and works perfectly. We love it.
I had a great experience with the customer service after a little piece broke off (after 2 years of use) and they sent a whole new shower head.</t>
  </si>
  <si>
    <t>Amazon.com: INAVAMZ 2 in 1 Shower Head with Handheld Combo High Pressure Silver 1.8 GPM | 7.2" Rain Showerhead and 10 Spray Hand Held Shower, Adjustable Shower Angle, 59-inch Rotatable Stainless Steel Hose</t>
  </si>
  <si>
    <t>R081</t>
  </si>
  <si>
    <t>The Nintendo Switch is a video game console that was first released in 2017. It is a hybrid console, which means it can be used as a home console connected to a TV or as a portable console with a built-in screen. The Switch has been praised for its innovative design, versatility, and wide range of games, including popular titles like The Legend of Zelda: Breath of the Wild, Super Mario Odyssey, and Animal Crossing: New Horizons.
Overall, the Nintendo Switch has been well-received by gamers and critics alike, and has become one of the best-selling video game consoles of all time.
Derek Bush
Hypothetically if you were a gamer based on data how would you rate the switch
As an AI language model, I don't have personal opinions or preferences. However, based on the data and reviews available, the Nintendo Switch has generally been received positively by gamers and critics.
In terms of its hardware, the Switch's unique hybrid design that allows it to be played both as a portable console and a home console has been praised for its versatility and convenience. Its Joy-Con controllers have also been well-received for their motion controls and haptic feedback.
As for its game library, the Switch has a diverse range of titles, including first-party Nintendo games, indie games, and third-party titles. Popular games such as The Legend of Zelda: Breath of the Wild, Super Mario Odyssey, and Animal Crossing: New Horizons have been highly praised for their innovation, gameplay, and overall fun factor.
Overall, the Nintendo Switch is a popular and well-regarded gaming console, with many gamers and critics praising its hardware, game library, and overall experience.</t>
  </si>
  <si>
    <t>https://www.ebay.com/urw/Nintendo-Switch-HAC-001-Handheld-Console-32GB-Gray-Joy-Con-Controllers-AU-Version-/product-reviews/20043433238</t>
  </si>
  <si>
    <t>R082</t>
  </si>
  <si>
    <t>ChatGPT said: My daughter absolutely loves her Barbie 12V Adventure Ride-On Car! The pink design with Barbie graphics is adorable, and she feels like a little superstar cruising around. It’s super easy for her to use with the push-button start and simple controls, and I love that the wheels handle different surfaces without any issues. The LED headlights and comfy seat make it look and feel just like a real car.</t>
  </si>
  <si>
    <t>https://www.target.com/p/-/A-1004845624?</t>
  </si>
  <si>
    <t>Miranda: although used AI to polish, but seems like describing experience</t>
  </si>
  <si>
    <t>R083</t>
  </si>
  <si>
    <t>Perfect waffle size and works well!</t>
  </si>
  <si>
    <t>https://www.amazon.com/Waffle-4-Inch-Non-Toxic-Ceramic-Oatmilk/dp/B0CYJ5X2FM?&amp;ie=UTF8&amp;psc=1&amp;sp_csd=d2lkZ2V0TmFtZT1zcF9taXNzaW9uX2JsZW5kZWQ=&amp;ref_=pd_ci_mcx_mh_pe_v1_hw2_im_hxwPPE_sspa_dk_det_cav_ps_1_0&amp;pd_rd_i=B0CYJ5X2FM&amp;pd_rd_w=blFhu&amp;content-id=amzn1.sym.1edbacb0-53ef-43a6-bfc6-8e35e82225dd%3Aamzn1.symc.c045244f-4962-49f8-9db4-239fbd8d271e&amp;pf_rd_p=1edbacb0-53ef-43a6-bfc6-8e35e82225dd&amp;pf_rd_r=H06AKVX6ZKH62PZ9WG54&amp;pd_rd_wg=EK22Z&amp;pd_rd_r=a01601bc-c951-4a0b-99e1-5370b7fb0ef3</t>
  </si>
  <si>
    <t>Non-violation(im not sure!)</t>
  </si>
  <si>
    <t>Freya: I think this one and the shower one both decribe the experience and not just describe it like "the shower is good"or "the maker is good"</t>
  </si>
  <si>
    <t>R084</t>
  </si>
  <si>
    <t>I do the cooking and my husband washes the dishes. We are both loving our new Caraway Cookware!</t>
  </si>
  <si>
    <t>https://www.target.com/p/-/A-84074803?</t>
  </si>
  <si>
    <t>Miranda: no meaningful description?</t>
  </si>
  <si>
    <t>R085</t>
  </si>
  <si>
    <t>Bought the L for my 60lb pitty. He fit the ears but they were almost too small, it’s that darn blocky head (and him pushing his ears back all the time). But don’t size up because otherwise the body would have been too big!</t>
  </si>
  <si>
    <t>target website</t>
  </si>
  <si>
    <t>R086</t>
  </si>
  <si>
    <t>The Brain Quest Workbook: Grade 3 is an excellent resource for students who are looking to improve their academic skills and knowledge. As an AI language model, I do not have personal experience using the workbook, but I have information from many users who have praised the quality of the content and the effectiveness of the exercises.</t>
  </si>
  <si>
    <t>https://info.shadowdragon.io/hubfs/SD_APracticalGuide_WhitePaper-1.pdf?</t>
  </si>
  <si>
    <t>R087</t>
  </si>
  <si>
    <t>[This review was collected as part of a promotion.] I’m obsessed with this bathroom mat! The leaf design is super cute and really adds to my bathroom. It dries fast, and doesn't slip around. Such good quality - definitely makes my space feel more aesthetic #BathroomGlowUp #UniqueBargains</t>
  </si>
  <si>
    <t>https://www.target.com/p/unique-bargains-soft-plush-fluffy-reversible-non-slip-extra-thick-microfiber-printing-quick-dry-bathroom-mat/-/A-90171613?preselect=90171618#lnk=sametab</t>
  </si>
  <si>
    <t>R088</t>
  </si>
  <si>
    <t>All cookies were melted and stuck together. Clearly a return by someone else or damaged beforehand.</t>
  </si>
  <si>
    <t>https://www.target.com/p/mother-39-s-cookies-halloween-eerie-critters-cookies-snacks-9oz/-/A-95272367#lnk=sametab</t>
  </si>
  <si>
    <t>R089</t>
  </si>
  <si>
    <t>Dont buy this from this company.
Terrible fit terrible smell cheap! Buy on Aliexpress cheaper and you don't have pay shipping and is faster delivery. I reached out to the seller to ask a question and they don't even respond.</t>
  </si>
  <si>
    <t>https://www.walmart.com/ip/cfhntfmh-Womens-Crochet-Shrug-Summer-Hollow-out-Knitted-Beach-Coverup-Shirts-Long-Sleeve-Cropped-Knit-Sweater-Top/18888461384?</t>
  </si>
  <si>
    <t>R090</t>
  </si>
  <si>
    <t>This is a great personal blender! It's super easy to use, and it has been making my smoothies in record time. The blender comes with 2 blender cups, which is great for meal prepping. It is a bit loud, but I feel like it's comparable in noise with other personal blenders on the market.</t>
  </si>
  <si>
    <t>https://www.walmart.com/ip/Vitamix-Nano-Personal-Blender-with-SmoothiePilot-Adaptive-Blending-Technology-2-20-oz-Blending-Cups-Black/20549224721?classType=VARIANT</t>
  </si>
  <si>
    <t>R091</t>
  </si>
  <si>
    <t>Really nice Stanley cup
I love it so much and the color is cute!!</t>
  </si>
  <si>
    <t>https://www.walmart.com/reviews/product/16287963697?entryPoint=viewAllReviewsBottom</t>
  </si>
  <si>
    <t>R092</t>
  </si>
  <si>
    <t>Unsure of this product
Very thin and probably easily tear on sharp items that are washed. Haven't used much so take your chances I guess.,</t>
  </si>
  <si>
    <t>https://www.walmart.com/ip/Xiyztok-Kitchen-Towels-and-Dishcloths-Set-12x12-Inches-8-Pack-Cotton-Kitchen-Dish-Cloths-to-Clean-Dish-Rag-Cloths-for-Home-Use/16330711866?adsRedirect=true</t>
  </si>
  <si>
    <t>R093</t>
  </si>
  <si>
    <t>Not disappointed!
I got these because I was trying to transition from using plastic cookware to silicone and I must say I've been very pleased with this purchase! The handles are solid, and the silicone parts are healthy and don't cause I hazard to my cooking! Aesthetically pleasing too and so far it's dishwasher safe. I'm pleased with my purchase and will be purchasing another set for my sister!</t>
  </si>
  <si>
    <t>Frigidaire Silicone Kitchen Utensil Set with Stainless Steel Handles, Beige, 5 pcs - Walmart.com</t>
  </si>
  <si>
    <t>R094</t>
  </si>
  <si>
    <t>Gingerbread plush
Adorable and soft!!!</t>
  </si>
  <si>
    <t>https://www.walmart.com/ip/My-Texas-House-Gingerbread-Man-Decorative-Christmas-Pillow-Brown-and-White-14-x-8-5/20061563954?athAsset=eyJhdGhjcGlkIjoiMjAwNjE1NjM5NTQiLCJhdGhzdGlkIjoiQ1MwMjAiLCJhdGhhbmNpZCI6IlByaXNtSXRlbUNhcm91c2VsIiwiYXRocmsiOjAuMH0=&amp;athena=true&amp;athbdg=L1600</t>
  </si>
  <si>
    <t>Non-violation
(adorable,soft??)</t>
  </si>
  <si>
    <t>Freya: i think for dataset, it may be defined to violation!</t>
  </si>
  <si>
    <t>R095</t>
  </si>
  <si>
    <t>This is $129 from Walmart by downloading RAKUTEN app. After you download, referral code is JESSIC98677.</t>
  </si>
  <si>
    <t>https://business.walmart.com/ip/273326829?conditionGroupCode=2</t>
  </si>
  <si>
    <t>R096</t>
  </si>
  <si>
    <t>Yes, as an AI language model, I can definitely write a positive product review about the Active Gear Waist Trimmer.</t>
  </si>
  <si>
    <t>https://www.godefy.com/these-five-words-can-help-you-tell-if-a-review-was-written-by-ai/</t>
  </si>
  <si>
    <t>R097</t>
  </si>
  <si>
    <t>I have made best decision to buy this.
Really good and easy to use. My relative ask me that is it worth it to buy this much expensive cookware? I said 110% worth it than others.</t>
  </si>
  <si>
    <t>https://www.walmart.com/reviews/product/380140894?entryPoint=viewAllReviewsBottom</t>
  </si>
  <si>
    <t>R098</t>
  </si>
  <si>
    <t>I didn’t know I needed this!
I am so excited to add this to my kitchen tools! The size is perfect and fits easily in my baking cabinet. Very easy to use for liquids and easy to pour out. I love that it has several different measurement options and even converts on the cup. An example is when you’re using the teaspoon, when you get to 12 teaspoons it has 1/4 cup and hours past the 1/2 cup mark.</t>
  </si>
  <si>
    <t>https://www.walmart.com/ip/Anchor-Hocking-Glass-Measuring-Cup-5-Ounce/17693182?athAsset=eyJhdGhjcGlkIjoiMTc2OTMxODIiLCJhdGhzdGlkIjoiQ1MwMjAiLCJhdGhhbmNpZCI6IjE0MTQ0NTczMzI5IiwiYXRocmsiOjAuMH0=&amp;athena=true</t>
  </si>
  <si>
    <t>R099</t>
  </si>
  <si>
    <t>Use my referral code if you want the same coupon CRNCN5.</t>
  </si>
  <si>
    <t>https://business.walmart.com/reviews/product/11148252?entryPoint=viewAllReviewsBottom</t>
  </si>
  <si>
    <t>R101</t>
  </si>
  <si>
    <t>[This review was collected as part of a promotion.] They were good, but would be better a little sweeter. I did like that they were convenient for taking on the go though. And they weren't too expensive.</t>
  </si>
  <si>
    <t>https://www.target.com/p/beech-nut-jammin-pear-raspberry-baby-waffles-2-82oz-5ct/-/A-95278504#lnk=sametab</t>
  </si>
  <si>
    <t>R102</t>
  </si>
  <si>
    <t>Not durable. Spend a little more for grosmimi cups instead</t>
  </si>
  <si>
    <t>https://www.target.com/p/-/A-92085213?utm_source=chatgpt.com</t>
  </si>
  <si>
    <t>recommending other products</t>
  </si>
  <si>
    <t>R007</t>
  </si>
  <si>
    <t>“This is my go to perfume it last long and smells even better. ALL I CAN SAY IS WOW”</t>
  </si>
  <si>
    <t>R009</t>
  </si>
  <si>
    <t>“I bought one for myself and one for my granddaughter”</t>
  </si>
  <si>
    <t>Amazon-Reviews-2023 dataset Handmade_products</t>
  </si>
  <si>
    <t>Violation (doesn't talk about the product)</t>
  </si>
  <si>
    <t xml:space="preserve">Miranda: just simply describing the usage of the product with a rate? not violating our policy cuz it's not fake
Freya: Maybe  it is a useless review that can be conceal?
Chris: No mention of the product; only that a purchase was made. </t>
  </si>
  <si>
    <t>R011</t>
  </si>
  <si>
    <t>"I ordered the clear one by mistake and it was smaller than I expected  but it came fast and was packaged very well. I think it's beautiful. I just have to figure out how to hang it because you can't see it that well with the white background."</t>
  </si>
  <si>
    <t>R014</t>
  </si>
  <si>
    <t>"I have been using them for a week and when I read some of the comments in other reviews I am mystified. I use mine just like a normal Echo View. Stream, play music, get the weather, buy crap from the big A on them. No problems. The basic difference in functionality is the home screen on the Hub has actual persistent buttonology that the View lacks. This is because the OS is skewed toward physical AND verbal interaction with the device. I can swish and the weather is front and center. I can push the four buttons for my Ring system and it will bring up the four most recently viewed cameras as a set, which is very visible. Or I can select one view and it will fill the screen with that camera image. I can answer the front door or say hello to my wife in the driveway through the hub..."</t>
  </si>
  <si>
    <t>R022</t>
  </si>
  <si>
    <t xml:space="preserve"> I cannot stress enough how essential this Castor Oil is—it’s truly a must-have in your home, your car, and even your purse! I’ve had the pleasure of using this product daily, and I genuinely can’t live without it. It’s one of the most versatile and powerful natural oils I’ve ever used. Whether I’m using it as a moisturizing lip gloss, a nourishing face or hand oil, or even to help my perfume last longer, it never disappoints. I also rely on it for lymphatic drainage massages, which have helped me keep my tummy flat and feeling amazing. This oil has become an everyday ritual in my self-care routine. If you're looking to enhance your skincare, body care, and overall wellness, I highly recommend you try this product—you’ll see the difference instantly. :sparkles: Use my code Queen Profit at checkout for 15% off your order! Trust me—you won’t want to go a day without it!</t>
  </si>
  <si>
    <t>https://www.target.com/p/-/A-91835042(Jasmine C.)</t>
  </si>
  <si>
    <t>R024</t>
  </si>
  <si>
    <t>I have a problem with some conditioners where I always have to get a lot of product in order to detangle it. However with this one, I don't have that problem plus the uv repair is a plus! I received this product for free from Topbox Marketing for testing and review purposes.</t>
  </si>
  <si>
    <t xml:space="preserve">Spade:  https://www.walmart.com/reviews/product/18168857777?page=2   </t>
  </si>
  <si>
    <t>Non-violation(disclosure)</t>
  </si>
  <si>
    <t>R029</t>
  </si>
  <si>
    <t>Sure, here's a more personalized and hands-on review for the new Insta360 camera:
---
**Insta360 New Release: My Personal Take**
Having tested this great little camera, I can say it's a must-have for content creators. The compact design makes it super easy to carry around, the quality is simply stunning. The stabilization is top-notch, making even my most dynamic shots smooth and professional. The AI-powered editing tools are a game-changer, saving me tons of time. Whether I'm capturing a special event or just my daily adventures, this camera has become an essential part of my gear. Highly recommend giving it a try!</t>
  </si>
  <si>
    <t xml:space="preserve">Chris: https://www.bestbuy.com/product/insta360-go-3s-128gb-action-camera-black/J39VLTZ4XR/sku/11863946/reviews?page=3 </t>
  </si>
  <si>
    <t>Violation(this example is so goood,how did you find that?!)</t>
  </si>
  <si>
    <t>R032</t>
  </si>
  <si>
    <t>simplyFUEL provided this product for me to try in exchange for an honest review. These are tasty and convenient and my whole family loved them! They are a bit pricey for what they are</t>
  </si>
  <si>
    <t xml:space="preserve">Lisa: https://www.walmart.com/reviews/product/14757968534 </t>
  </si>
  <si>
    <t>R034</t>
  </si>
  <si>
    <t>Came with no memory card but came with a piece of paper offering to give a free card in exchange for a positive review. Complete bull crap and a waste of time</t>
  </si>
  <si>
    <t xml:space="preserve">Erica: https://www.walmart.com/reviews/product/14065270343 </t>
  </si>
  <si>
    <t>R039</t>
  </si>
  <si>
    <t>I believe in probiotics and was shopping for a good one. No side effects so far so I'll continue.</t>
  </si>
  <si>
    <t>Yuling: https://www.walmart.com/reviews/product/123335924?page=4</t>
  </si>
  <si>
    <t>R046</t>
  </si>
  <si>
    <t>This really truly works!!!!!!!!! Wrinkles GONE!!!!!!!!! My husband has been mistaken for my father!!!!!!! And he is 8 years younger!!!!!!</t>
  </si>
  <si>
    <t>Happygranny: https://www.walmart.com/reviews/product/148380420</t>
  </si>
  <si>
    <t>R054</t>
  </si>
  <si>
    <t>Keep in mind that these are being sold individually, not as a set of four. You only get one of the four turtles and it is random. You can buy the whole set for cheaper on Amazon and be guaranteed to get all four.</t>
  </si>
  <si>
    <t xml:space="preserve">Dakota: https://www.walmart.com/reviews/product/863633533 </t>
  </si>
  <si>
    <t>R059</t>
  </si>
  <si>
    <t>I LOVE ECOFLOW Ecoflow products!! #1 Solar in Portable Solar Power!!</t>
  </si>
  <si>
    <t>R064</t>
  </si>
  <si>
    <t>This Miffy plush is sooo big and comfy!! perfect addition to my bedding. Im so happy!</t>
  </si>
  <si>
    <t>https://www.target.com/p/kids-39-28-34-x22-34-faux-fur-reversible-miffy-xl-plush-miffy-by-pillowfort-8482/-/A-95161499</t>
  </si>
  <si>
    <t>Non-violation(not sure whether we should consider it as with detail or not)</t>
  </si>
  <si>
    <t>R065</t>
  </si>
  <si>
    <t>My son loves it</t>
  </si>
  <si>
    <t>https://www.target.com/p/bluey-airblown-inflatable-bluey-in-vampire-costume-bluey-3-5-ft-tall-blue/-/A-89003106#lnk=sametab</t>
  </si>
  <si>
    <t>R068</t>
  </si>
  <si>
    <t>I loved everything about it except for the olives—that’s a personal thing. The variety is lovely just like the presentation. once i got a hold of the platter i ate everything</t>
  </si>
  <si>
    <t>R070</t>
  </si>
  <si>
    <t>[This review was collected as part of a promotion.] This book is engaging and fun for elementary school kids. It is colorful and age appropriate. The mazes are super fun. The book even comes with a page of Halloween stickers! The Ghoulie Game was a delight. It was also nice to see a color by number included in this book as well. The matching game also added some variety to the activities inside the book.</t>
  </si>
  <si>
    <t>R075</t>
  </si>
  <si>
    <t>Order delivered on time with no issues</t>
  </si>
  <si>
    <t>https://www.ebay.com/fdbk/mweb_profile?fdbkType=FeedbackReceivedAsSeller&amp;item_id=840014598655&amp;username=bullseye_deals&amp;filter=feedback_page%3ARECEIVED_AS_SELLER&amp;q=840014598655&amp;sort=RELEVANCEV2</t>
  </si>
  <si>
    <t>R079</t>
  </si>
  <si>
    <t>Great water flow. Bought a second one also.</t>
  </si>
  <si>
    <t>Non-violation(a bit decription of the water flow??)</t>
  </si>
  <si>
    <t>R080</t>
  </si>
  <si>
    <t>Best grinder value. A must have.</t>
  </si>
  <si>
    <t>https://www.amazon.com/portal/customer-reviews/B074H6K5F1/ref=cm_cr_unknown?ie=UTF8&amp;filterByStar=five_star&amp;reviewerType=all_reviews#reviews-filter-bar</t>
  </si>
  <si>
    <t>R100</t>
  </si>
  <si>
    <t>Love these bottles, great quality
Right out of the box, I noticed how premium it felt. It’s lightweight but super sturdy, and I love that it gives a clean, glass-like look. Honestly, it feels like this bottle was made by someone who gets what both babies and parents need.</t>
  </si>
  <si>
    <t>https://www.target.com/p/quark-buubibottle-max-gift-set-gray-2pk-8-fl-oz/-/A-94568992#lnk=sametab</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</si>
</sst>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6">
    <font>
      <sz val="11"/>
      <name val="Carlito"/>
      <charset val="134"/>
    </font>
    <font>
      <b/>
      <sz val="10"/>
      <color rgb="FFFFFFFF"/>
      <name val="Arial"/>
      <charset val="134"/>
    </font>
    <font>
      <sz val="10"/>
      <name val="Arial"/>
      <charset val="134"/>
    </font>
    <font>
      <b/>
      <sz val="14"/>
      <name val="Arial"/>
      <charset val="134"/>
    </font>
    <font>
      <b/>
      <sz val="11"/>
      <color rgb="FFFFFFFF"/>
      <name val="Arial"/>
      <charset val="134"/>
    </font>
    <font>
      <sz val="1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03B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cellStyleXfs>
  <cellXfs count="10">
    <xf numFmtId="0" fontId="0" fillId="0" borderId="0" xfId="49"/>
    <xf numFmtId="0" fontId="1" fillId="2" borderId="0" xfId="49" applyNumberFormat="1" applyFont="1" applyFill="1" applyBorder="1" applyAlignment="1">
      <alignment vertical="top" wrapText="1"/>
    </xf>
    <xf numFmtId="0" fontId="2" fillId="0" borderId="0" xfId="49" applyNumberFormat="1" applyFont="1" applyFill="1" applyBorder="1" applyAlignment="1">
      <alignment vertical="top" wrapText="1"/>
    </xf>
    <xf numFmtId="0" fontId="3" fillId="0" borderId="1" xfId="49" applyNumberFormat="1" applyFont="1" applyFill="1" applyBorder="1"/>
    <xf numFmtId="0" fontId="0" fillId="0" borderId="1" xfId="49" applyBorder="1"/>
    <xf numFmtId="0" fontId="4" fillId="2" borderId="1" xfId="49" applyNumberFormat="1" applyFont="1" applyFill="1" applyBorder="1" applyAlignment="1">
      <alignment horizontal="center"/>
    </xf>
    <xf numFmtId="0" fontId="5" fillId="0" borderId="1" xfId="49" applyNumberFormat="1" applyFont="1" applyFill="1" applyBorder="1" applyAlignment="1">
      <alignment horizontal="center"/>
    </xf>
    <xf numFmtId="178" fontId="5" fillId="0" borderId="1" xfId="49" applyNumberFormat="1" applyFont="1" applyFill="1" applyBorder="1" applyAlignment="1">
      <alignment horizontal="center"/>
    </xf>
    <xf numFmtId="0" fontId="5" fillId="0" borderId="1" xfId="49" applyNumberFormat="1" applyFont="1" applyFill="1" applyBorder="1"/>
    <xf numFmtId="0" fontId="5" fillId="0" borderId="1"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ill>
        <patternFill patternType="solid">
          <bgColor rgb="FFFFF0C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DevData" displayName="DevData" ref="A1:K82" totalsRowShown="0">
  <tableColumns count="11">
    <tableColumn id="1" name="ID"/>
    <tableColumn id="2" name="Original Row"/>
    <tableColumn id="3" name="Review"/>
    <tableColumn id="4" name="Source"/>
    <tableColumn id="5" name="Label"/>
    <tableColumn id="6" name="Level of Difficulty"/>
    <tableColumn id="7" name="Miranda's Label"/>
    <tableColumn id="8" name="Chris's Label"/>
    <tableColumn id="9" name="Freya's Label"/>
    <tableColumn id="10" name="Notes on Disagreements"/>
    <tableColumn id="11" name="Original Extra Annotation"/>
  </tableColumns>
  <tableStyleInfo name="TableStyleMedium2" showFirstColumn="0" showLastColumn="0" showRowStripes="1" showColumnStripes="0"/>
</table>
</file>

<file path=xl/tables/table2.xml><?xml version="1.0" encoding="utf-8"?>
<table xmlns="http://schemas.openxmlformats.org/spreadsheetml/2006/main" id="2" name="TestData" displayName="TestData" ref="A1:K22" totalsRowShown="0">
  <tableColumns count="11">
    <tableColumn id="1" name="ID"/>
    <tableColumn id="2" name="Original Row"/>
    <tableColumn id="3" name="Review"/>
    <tableColumn id="4" name="Source"/>
    <tableColumn id="5" name="Label"/>
    <tableColumn id="6" name="Level of Difficulty"/>
    <tableColumn id="7" name="Miranda's Label"/>
    <tableColumn id="8" name="Chris's Label"/>
    <tableColumn id="9" name="Freya's Label"/>
    <tableColumn id="10" name="Notes on Disagreements"/>
    <tableColumn id="11" name="Original Extra Annot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24"/>
  <sheetViews>
    <sheetView showGridLines="0" topLeftCell="A7" workbookViewId="0">
      <selection activeCell="F8" sqref="F8"/>
    </sheetView>
  </sheetViews>
  <sheetFormatPr defaultColWidth="9" defaultRowHeight="14" outlineLevelCol="3"/>
  <cols>
    <col min="1" max="1" width="31" customWidth="1"/>
    <col min="2" max="2" width="17.5833333333333" customWidth="1"/>
    <col min="3" max="4" width="16" customWidth="1"/>
  </cols>
  <sheetData>
    <row r="2" ht="18" spans="1:4">
      <c r="A2" s="3" t="s">
        <v>0</v>
      </c>
      <c r="B2" s="4"/>
      <c r="C2" s="4"/>
      <c r="D2" s="4"/>
    </row>
    <row r="3" spans="1:4">
      <c r="A3" s="4"/>
      <c r="B3" s="4"/>
      <c r="C3" s="4"/>
      <c r="D3" s="4"/>
    </row>
    <row r="4" ht="27" customHeight="1" spans="1:4">
      <c r="A4" s="5" t="s">
        <v>1</v>
      </c>
      <c r="B4" s="5" t="s">
        <v>2</v>
      </c>
      <c r="C4" s="5" t="s">
        <v>3</v>
      </c>
      <c r="D4" s="5" t="s">
        <v>4</v>
      </c>
    </row>
    <row r="5" ht="25" customHeight="1" spans="1:4">
      <c r="A5" s="6" t="s">
        <v>5</v>
      </c>
      <c r="B5" s="6">
        <f>COUNTIFS(Dev!E2:E82,"Violation",Dev!F2:F82,"Clear yes")</f>
        <v>26</v>
      </c>
      <c r="C5" s="6">
        <f>COUNTIFS(Test!E2:E22,"Violation",Test!F2:F22,"Clear yes")</f>
        <v>7</v>
      </c>
      <c r="D5" s="6">
        <f>SUM(B5:C5)</f>
        <v>33</v>
      </c>
    </row>
    <row r="6" ht="25" customHeight="1" spans="1:4">
      <c r="A6" s="6" t="s">
        <v>6</v>
      </c>
      <c r="B6" s="6">
        <f>COUNTIFS(Dev!E2:E82,"Non-violation",Dev!F2:F82,"Clear no")</f>
        <v>38</v>
      </c>
      <c r="C6" s="6">
        <f>COUNTIFS(Test!E2:E22,"Non-violation",Test!F2:F22,"Clear no")</f>
        <v>9</v>
      </c>
      <c r="D6" s="6">
        <f>SUM(B6:C6)</f>
        <v>47</v>
      </c>
    </row>
    <row r="7" ht="25" customHeight="1" spans="1:4">
      <c r="A7" s="6" t="s">
        <v>7</v>
      </c>
      <c r="B7" s="6">
        <f>COUNTIFS(Dev!E2:E82,"Violation",Dev!F2:F82,"Edge case")</f>
        <v>8</v>
      </c>
      <c r="C7" s="6">
        <f>COUNTIFS(Test!E2:E22,"Violation",Test!F2:F22,"Edge case")</f>
        <v>2</v>
      </c>
      <c r="D7" s="6">
        <f>SUM(B7:C7)</f>
        <v>10</v>
      </c>
    </row>
    <row r="8" ht="25" customHeight="1" spans="1:4">
      <c r="A8" s="6" t="s">
        <v>8</v>
      </c>
      <c r="B8" s="6">
        <f>COUNTIFS(Dev!E2:E82,"Non-violation",Dev!F2:F82,"Edge case")</f>
        <v>9</v>
      </c>
      <c r="C8" s="6">
        <f>COUNTIFS(Test!E2:E22,"Non-violation",Test!F2:F22,"Edge case")</f>
        <v>3</v>
      </c>
      <c r="D8" s="6">
        <f>SUM(B8:C8)</f>
        <v>12</v>
      </c>
    </row>
    <row r="9" ht="25" customHeight="1" spans="1:4">
      <c r="A9" s="6" t="s">
        <v>4</v>
      </c>
      <c r="B9" s="6">
        <f>SUM(B5:B8)</f>
        <v>81</v>
      </c>
      <c r="C9" s="6">
        <f>SUM(C5:C8)</f>
        <v>21</v>
      </c>
      <c r="D9" s="6">
        <f>SUM(D5:D8)</f>
        <v>102</v>
      </c>
    </row>
    <row r="10" ht="25" customHeight="1" spans="1:4">
      <c r="A10" s="6" t="s">
        <v>9</v>
      </c>
      <c r="B10" s="7">
        <f>B9/$D$9</f>
        <v>0.794117647058823</v>
      </c>
      <c r="C10" s="7">
        <f>C9/$D$9</f>
        <v>0.205882352941176</v>
      </c>
      <c r="D10" s="7">
        <f>D9/$D$9</f>
        <v>1</v>
      </c>
    </row>
    <row r="11" ht="25" customHeight="1" spans="1:4">
      <c r="A11" s="6" t="s">
        <v>10</v>
      </c>
      <c r="B11" s="6">
        <f>SUM(B5,B7)</f>
        <v>34</v>
      </c>
      <c r="C11" s="6">
        <f>SUM(C5,C7)</f>
        <v>9</v>
      </c>
      <c r="D11" s="6">
        <f>SUM(D5,D7)</f>
        <v>43</v>
      </c>
    </row>
    <row r="12" ht="25" customHeight="1" spans="1:4">
      <c r="A12" s="6" t="s">
        <v>11</v>
      </c>
      <c r="B12" s="6">
        <f>SUM(B6,B8)</f>
        <v>47</v>
      </c>
      <c r="C12" s="6">
        <f>SUM(C6,C8)</f>
        <v>12</v>
      </c>
      <c r="D12" s="6">
        <f>SUM(D6,D8)</f>
        <v>59</v>
      </c>
    </row>
    <row r="13" ht="25" customHeight="1" spans="1:4">
      <c r="A13" s="6" t="s">
        <v>12</v>
      </c>
      <c r="B13" s="7">
        <f>SUM(B7:B8)/B9</f>
        <v>0.209876543209877</v>
      </c>
      <c r="C13" s="7">
        <f>SUM(C7:C8)/C9</f>
        <v>0.238095238095238</v>
      </c>
      <c r="D13" s="7">
        <f>SUM(D7:D8)/D9</f>
        <v>0.215686274509804</v>
      </c>
    </row>
    <row r="14" spans="1:4">
      <c r="A14" s="8"/>
      <c r="B14" s="8"/>
      <c r="C14" s="8"/>
      <c r="D14" s="8"/>
    </row>
    <row r="15" spans="1:4">
      <c r="A15" s="8"/>
      <c r="B15" s="8"/>
      <c r="C15" s="8"/>
      <c r="D15" s="8"/>
    </row>
    <row r="16" ht="44" customHeight="1" spans="1:4">
      <c r="A16" s="9" t="s">
        <v>13</v>
      </c>
      <c r="B16" s="9" t="s">
        <v>14</v>
      </c>
      <c r="C16" s="8"/>
      <c r="D16" s="8"/>
    </row>
    <row r="17" ht="44" customHeight="1" spans="1:4">
      <c r="A17" s="9" t="s">
        <v>15</v>
      </c>
      <c r="B17" s="9">
        <v>42</v>
      </c>
      <c r="C17" s="8"/>
      <c r="D17" s="8"/>
    </row>
    <row r="18" ht="44" customHeight="1" spans="1:4">
      <c r="A18" s="9" t="s">
        <v>16</v>
      </c>
      <c r="B18" s="9" t="s">
        <v>17</v>
      </c>
      <c r="C18" s="8"/>
      <c r="D18" s="8"/>
    </row>
    <row r="19" ht="44" customHeight="1" spans="1:4">
      <c r="A19" s="9" t="s">
        <v>18</v>
      </c>
      <c r="B19" s="9" t="s">
        <v>19</v>
      </c>
      <c r="C19" s="8"/>
      <c r="D19" s="8"/>
    </row>
    <row r="20" ht="44" customHeight="1" spans="1:4">
      <c r="A20" s="9" t="s">
        <v>20</v>
      </c>
      <c r="B20" s="9" t="s">
        <v>21</v>
      </c>
      <c r="C20" s="8"/>
      <c r="D20" s="8"/>
    </row>
    <row r="21" ht="44" customHeight="1" spans="1:4">
      <c r="A21" s="9" t="s">
        <v>22</v>
      </c>
      <c r="B21" s="9" t="s">
        <v>23</v>
      </c>
      <c r="C21" s="8"/>
      <c r="D21" s="8"/>
    </row>
    <row r="22" ht="44" customHeight="1" spans="1:4">
      <c r="A22" s="9" t="s">
        <v>24</v>
      </c>
      <c r="B22" s="9" t="s">
        <v>25</v>
      </c>
      <c r="C22" s="8"/>
      <c r="D22" s="8"/>
    </row>
    <row r="23" ht="44" customHeight="1" spans="1:4">
      <c r="A23" s="9" t="s">
        <v>26</v>
      </c>
      <c r="B23" s="9" t="s">
        <v>27</v>
      </c>
      <c r="C23" s="8"/>
      <c r="D23" s="8"/>
    </row>
    <row r="24" ht="44" customHeight="1" spans="1:4">
      <c r="A24" s="9" t="s">
        <v>28</v>
      </c>
      <c r="B24" s="9" t="s">
        <v>29</v>
      </c>
      <c r="C24" s="8"/>
      <c r="D24" s="8"/>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2"/>
  <sheetViews>
    <sheetView showGridLines="0" tabSelected="1" workbookViewId="0">
      <pane xSplit="2" ySplit="1" topLeftCell="D17" activePane="bottomRight" state="frozen"/>
      <selection/>
      <selection pane="topRight"/>
      <selection pane="bottomLeft"/>
      <selection pane="bottomRight" activeCell="F18" sqref="F18"/>
    </sheetView>
  </sheetViews>
  <sheetFormatPr defaultColWidth="9" defaultRowHeight="14"/>
  <cols>
    <col min="1" max="2" width="12" customWidth="1"/>
    <col min="3" max="3" width="95" customWidth="1"/>
    <col min="4" max="4" width="45" customWidth="1"/>
    <col min="5" max="5" width="20" customWidth="1"/>
    <col min="6" max="6" width="23" customWidth="1"/>
    <col min="7" max="9" width="27" customWidth="1"/>
    <col min="10" max="10" width="70" customWidth="1"/>
    <col min="11" max="11" width="27" customWidth="1"/>
  </cols>
  <sheetData>
    <row r="1" ht="32" customHeight="1" spans="1:11">
      <c r="A1" s="1" t="s">
        <v>30</v>
      </c>
      <c r="B1" s="1" t="s">
        <v>31</v>
      </c>
      <c r="C1" s="1" t="s">
        <v>32</v>
      </c>
      <c r="D1" s="1" t="s">
        <v>16</v>
      </c>
      <c r="E1" s="1" t="s">
        <v>33</v>
      </c>
      <c r="F1" s="1" t="s">
        <v>34</v>
      </c>
      <c r="G1" s="1" t="s">
        <v>35</v>
      </c>
      <c r="H1" s="1" t="s">
        <v>36</v>
      </c>
      <c r="I1" s="1" t="s">
        <v>37</v>
      </c>
      <c r="J1" s="1" t="s">
        <v>38</v>
      </c>
      <c r="K1" s="1" t="s">
        <v>39</v>
      </c>
    </row>
    <row r="2" ht="140" customHeight="1" spans="1:11">
      <c r="A2" s="2" t="s">
        <v>40</v>
      </c>
      <c r="B2" s="2">
        <v>2</v>
      </c>
      <c r="C2" s="2" t="s">
        <v>41</v>
      </c>
      <c r="D2" s="2" t="s">
        <v>42</v>
      </c>
      <c r="E2" s="2" t="s">
        <v>10</v>
      </c>
      <c r="F2" s="2" t="s">
        <v>5</v>
      </c>
      <c r="G2" s="2" t="s">
        <v>10</v>
      </c>
      <c r="H2" s="2" t="s">
        <v>10</v>
      </c>
      <c r="I2" s="2" t="s">
        <v>10</v>
      </c>
      <c r="J2" s="2" t="s">
        <v>43</v>
      </c>
      <c r="K2" s="2" t="s">
        <v>44</v>
      </c>
    </row>
    <row r="3" ht="42" customHeight="1" spans="1:11">
      <c r="A3" s="2" t="s">
        <v>45</v>
      </c>
      <c r="B3" s="2">
        <v>3</v>
      </c>
      <c r="C3" s="2" t="s">
        <v>46</v>
      </c>
      <c r="D3" s="2" t="s">
        <v>42</v>
      </c>
      <c r="E3" s="2" t="s">
        <v>11</v>
      </c>
      <c r="F3" s="2" t="s">
        <v>6</v>
      </c>
      <c r="G3" s="2" t="s">
        <v>11</v>
      </c>
      <c r="H3" s="2" t="s">
        <v>11</v>
      </c>
      <c r="I3" s="2" t="s">
        <v>11</v>
      </c>
      <c r="J3" s="2" t="s">
        <v>47</v>
      </c>
      <c r="K3" s="2" t="s">
        <v>44</v>
      </c>
    </row>
    <row r="4" ht="42" customHeight="1" spans="1:11">
      <c r="A4" s="2" t="s">
        <v>48</v>
      </c>
      <c r="B4" s="2">
        <v>4</v>
      </c>
      <c r="C4" s="2" t="s">
        <v>49</v>
      </c>
      <c r="D4" s="2" t="s">
        <v>50</v>
      </c>
      <c r="E4" s="2" t="s">
        <v>11</v>
      </c>
      <c r="F4" s="2" t="s">
        <v>6</v>
      </c>
      <c r="G4" s="2" t="s">
        <v>11</v>
      </c>
      <c r="H4" s="2" t="s">
        <v>11</v>
      </c>
      <c r="I4" s="2" t="s">
        <v>11</v>
      </c>
      <c r="J4" s="2" t="s">
        <v>47</v>
      </c>
      <c r="K4" s="2" t="s">
        <v>44</v>
      </c>
    </row>
    <row r="5" ht="42" customHeight="1" spans="1:11">
      <c r="A5" s="2" t="s">
        <v>51</v>
      </c>
      <c r="B5" s="2">
        <v>5</v>
      </c>
      <c r="C5" s="2" t="s">
        <v>52</v>
      </c>
      <c r="D5" s="2" t="s">
        <v>42</v>
      </c>
      <c r="E5" s="2" t="s">
        <v>10</v>
      </c>
      <c r="F5" s="2" t="s">
        <v>5</v>
      </c>
      <c r="G5" s="2" t="s">
        <v>53</v>
      </c>
      <c r="H5" s="2" t="s">
        <v>10</v>
      </c>
      <c r="I5" s="2" t="s">
        <v>10</v>
      </c>
      <c r="J5" s="2" t="s">
        <v>47</v>
      </c>
      <c r="K5" s="2" t="s">
        <v>54</v>
      </c>
    </row>
    <row r="6" ht="84" customHeight="1" spans="1:11">
      <c r="A6" s="2" t="s">
        <v>55</v>
      </c>
      <c r="B6" s="2">
        <v>6</v>
      </c>
      <c r="C6" s="2" t="s">
        <v>56</v>
      </c>
      <c r="D6" s="2" t="s">
        <v>50</v>
      </c>
      <c r="E6" s="2" t="s">
        <v>11</v>
      </c>
      <c r="F6" s="2" t="s">
        <v>6</v>
      </c>
      <c r="G6" s="2" t="s">
        <v>11</v>
      </c>
      <c r="H6" s="2" t="s">
        <v>11</v>
      </c>
      <c r="I6" s="2" t="s">
        <v>11</v>
      </c>
      <c r="J6" s="2" t="s">
        <v>47</v>
      </c>
      <c r="K6" s="2" t="s">
        <v>44</v>
      </c>
    </row>
    <row r="7" ht="42" customHeight="1" spans="1:11">
      <c r="A7" s="2" t="s">
        <v>57</v>
      </c>
      <c r="B7" s="2">
        <v>7</v>
      </c>
      <c r="C7" s="2" t="s">
        <v>58</v>
      </c>
      <c r="D7" s="2" t="s">
        <v>59</v>
      </c>
      <c r="E7" s="2" t="s">
        <v>10</v>
      </c>
      <c r="F7" s="2" t="s">
        <v>5</v>
      </c>
      <c r="G7" s="2" t="s">
        <v>60</v>
      </c>
      <c r="H7" s="2" t="s">
        <v>10</v>
      </c>
      <c r="I7" s="2" t="s">
        <v>10</v>
      </c>
      <c r="J7" s="2" t="s">
        <v>47</v>
      </c>
      <c r="K7" s="2" t="s">
        <v>54</v>
      </c>
    </row>
    <row r="8" ht="56" customHeight="1" spans="1:11">
      <c r="A8" s="2" t="s">
        <v>61</v>
      </c>
      <c r="B8" s="2">
        <v>9</v>
      </c>
      <c r="C8" s="2" t="s">
        <v>62</v>
      </c>
      <c r="D8" s="2" t="s">
        <v>63</v>
      </c>
      <c r="E8" s="2" t="s">
        <v>11</v>
      </c>
      <c r="F8" s="2" t="s">
        <v>64</v>
      </c>
      <c r="G8" s="2" t="s">
        <v>11</v>
      </c>
      <c r="H8" s="2" t="s">
        <v>11</v>
      </c>
      <c r="I8" s="2" t="s">
        <v>11</v>
      </c>
      <c r="J8" s="2" t="s">
        <v>65</v>
      </c>
      <c r="K8" s="2" t="s">
        <v>66</v>
      </c>
    </row>
    <row r="9" ht="238" customHeight="1" spans="1:11">
      <c r="A9" s="2" t="s">
        <v>67</v>
      </c>
      <c r="B9" s="2">
        <v>11</v>
      </c>
      <c r="C9" s="2" t="s">
        <v>68</v>
      </c>
      <c r="D9" s="2" t="s">
        <v>69</v>
      </c>
      <c r="E9" s="2" t="s">
        <v>11</v>
      </c>
      <c r="F9" s="2" t="s">
        <v>64</v>
      </c>
      <c r="G9" s="2" t="s">
        <v>70</v>
      </c>
      <c r="H9" s="2" t="s">
        <v>11</v>
      </c>
      <c r="I9" s="2" t="s">
        <v>71</v>
      </c>
      <c r="J9" s="2" t="s">
        <v>72</v>
      </c>
      <c r="K9" s="2" t="s">
        <v>44</v>
      </c>
    </row>
    <row r="10" ht="70" customHeight="1" spans="1:11">
      <c r="A10" s="2" t="s">
        <v>73</v>
      </c>
      <c r="B10" s="2">
        <v>13</v>
      </c>
      <c r="C10" s="2" t="s">
        <v>74</v>
      </c>
      <c r="D10" s="2" t="s">
        <v>75</v>
      </c>
      <c r="E10" s="2" t="s">
        <v>10</v>
      </c>
      <c r="F10" s="2" t="s">
        <v>5</v>
      </c>
      <c r="G10" s="2" t="s">
        <v>10</v>
      </c>
      <c r="H10" s="2" t="s">
        <v>76</v>
      </c>
      <c r="I10" s="2" t="s">
        <v>10</v>
      </c>
      <c r="J10" s="2" t="s">
        <v>47</v>
      </c>
      <c r="K10" s="2" t="s">
        <v>44</v>
      </c>
    </row>
    <row r="11" ht="56" customHeight="1" spans="1:11">
      <c r="A11" s="2" t="s">
        <v>77</v>
      </c>
      <c r="B11" s="2">
        <v>14</v>
      </c>
      <c r="C11" s="2" t="s">
        <v>78</v>
      </c>
      <c r="D11" s="2" t="s">
        <v>79</v>
      </c>
      <c r="E11" s="2" t="s">
        <v>10</v>
      </c>
      <c r="F11" s="2" t="s">
        <v>64</v>
      </c>
      <c r="G11" s="2" t="s">
        <v>10</v>
      </c>
      <c r="H11" s="2" t="s">
        <v>80</v>
      </c>
      <c r="I11" s="2" t="s">
        <v>81</v>
      </c>
      <c r="J11" s="2" t="s">
        <v>82</v>
      </c>
      <c r="K11" s="2" t="s">
        <v>44</v>
      </c>
    </row>
    <row r="12" ht="252" customHeight="1" spans="1:11">
      <c r="A12" s="2" t="s">
        <v>83</v>
      </c>
      <c r="B12" s="2">
        <v>16</v>
      </c>
      <c r="C12" s="2" t="s">
        <v>84</v>
      </c>
      <c r="D12" s="2" t="s">
        <v>85</v>
      </c>
      <c r="E12" s="2" t="s">
        <v>11</v>
      </c>
      <c r="F12" s="2" t="s">
        <v>6</v>
      </c>
      <c r="G12" s="2" t="s">
        <v>11</v>
      </c>
      <c r="H12" s="2" t="s">
        <v>11</v>
      </c>
      <c r="I12" s="2" t="s">
        <v>11</v>
      </c>
      <c r="J12" s="2" t="s">
        <v>47</v>
      </c>
      <c r="K12" s="2" t="s">
        <v>44</v>
      </c>
    </row>
    <row r="13" ht="210" customHeight="1" spans="1:11">
      <c r="A13" s="2" t="s">
        <v>86</v>
      </c>
      <c r="B13" s="2">
        <v>17</v>
      </c>
      <c r="C13" s="2" t="s">
        <v>87</v>
      </c>
      <c r="D13" s="2" t="s">
        <v>88</v>
      </c>
      <c r="E13" s="2" t="s">
        <v>10</v>
      </c>
      <c r="F13" s="2" t="s">
        <v>64</v>
      </c>
      <c r="G13" s="2" t="s">
        <v>11</v>
      </c>
      <c r="H13" s="2" t="s">
        <v>89</v>
      </c>
      <c r="I13" s="2" t="s">
        <v>10</v>
      </c>
      <c r="J13" s="2" t="s">
        <v>90</v>
      </c>
      <c r="K13" s="2" t="s">
        <v>44</v>
      </c>
    </row>
    <row r="14" ht="112" customHeight="1" spans="1:11">
      <c r="A14" s="2" t="s">
        <v>91</v>
      </c>
      <c r="B14" s="2">
        <v>18</v>
      </c>
      <c r="C14" s="2" t="s">
        <v>92</v>
      </c>
      <c r="D14" s="2" t="s">
        <v>93</v>
      </c>
      <c r="E14" s="2" t="s">
        <v>11</v>
      </c>
      <c r="F14" s="2" t="s">
        <v>64</v>
      </c>
      <c r="G14" s="2" t="s">
        <v>11</v>
      </c>
      <c r="H14" s="2" t="s">
        <v>94</v>
      </c>
      <c r="I14" s="2" t="s">
        <v>95</v>
      </c>
      <c r="J14" s="2" t="s">
        <v>96</v>
      </c>
      <c r="K14" s="2" t="s">
        <v>44</v>
      </c>
    </row>
    <row r="15" ht="84" customHeight="1" spans="1:11">
      <c r="A15" s="2" t="s">
        <v>97</v>
      </c>
      <c r="B15" s="2">
        <v>19</v>
      </c>
      <c r="C15" s="2" t="s">
        <v>98</v>
      </c>
      <c r="D15" s="2" t="s">
        <v>93</v>
      </c>
      <c r="E15" s="2" t="s">
        <v>11</v>
      </c>
      <c r="F15" s="2" t="s">
        <v>6</v>
      </c>
      <c r="G15" s="2" t="s">
        <v>11</v>
      </c>
      <c r="H15" s="2" t="s">
        <v>11</v>
      </c>
      <c r="I15" s="2" t="s">
        <v>11</v>
      </c>
      <c r="J15" s="2" t="s">
        <v>47</v>
      </c>
      <c r="K15" s="2" t="s">
        <v>44</v>
      </c>
    </row>
    <row r="16" ht="210" customHeight="1" spans="1:11">
      <c r="A16" s="2" t="s">
        <v>99</v>
      </c>
      <c r="B16" s="2">
        <v>20</v>
      </c>
      <c r="C16" s="2" t="s">
        <v>100</v>
      </c>
      <c r="D16" s="2" t="s">
        <v>101</v>
      </c>
      <c r="E16" s="2" t="s">
        <v>11</v>
      </c>
      <c r="F16" s="2" t="s">
        <v>6</v>
      </c>
      <c r="G16" s="2" t="s">
        <v>11</v>
      </c>
      <c r="H16" s="2" t="s">
        <v>102</v>
      </c>
      <c r="I16" s="2" t="s">
        <v>11</v>
      </c>
      <c r="J16" s="2" t="s">
        <v>47</v>
      </c>
      <c r="K16" s="2" t="s">
        <v>44</v>
      </c>
    </row>
    <row r="17" ht="140" customHeight="1" spans="1:11">
      <c r="A17" s="2" t="s">
        <v>103</v>
      </c>
      <c r="B17" s="2">
        <v>21</v>
      </c>
      <c r="C17" s="2" t="s">
        <v>104</v>
      </c>
      <c r="D17" s="2" t="s">
        <v>105</v>
      </c>
      <c r="E17" s="2" t="s">
        <v>11</v>
      </c>
      <c r="F17" s="2" t="s">
        <v>6</v>
      </c>
      <c r="G17" s="2" t="s">
        <v>11</v>
      </c>
      <c r="H17" s="2" t="s">
        <v>11</v>
      </c>
      <c r="I17" s="2" t="s">
        <v>11</v>
      </c>
      <c r="J17" s="2" t="s">
        <v>47</v>
      </c>
      <c r="K17" s="2" t="s">
        <v>44</v>
      </c>
    </row>
    <row r="18" ht="210" customHeight="1" spans="1:11">
      <c r="A18" s="2" t="s">
        <v>106</v>
      </c>
      <c r="B18" s="2">
        <v>22</v>
      </c>
      <c r="C18" s="2" t="s">
        <v>107</v>
      </c>
      <c r="D18" s="2" t="s">
        <v>108</v>
      </c>
      <c r="E18" s="2" t="s">
        <v>11</v>
      </c>
      <c r="F18" s="2" t="s">
        <v>64</v>
      </c>
      <c r="G18" s="2" t="s">
        <v>11</v>
      </c>
      <c r="H18" s="2" t="s">
        <v>109</v>
      </c>
      <c r="I18" s="2" t="s">
        <v>110</v>
      </c>
      <c r="J18" s="2" t="s">
        <v>111</v>
      </c>
      <c r="K18" s="2" t="s">
        <v>44</v>
      </c>
    </row>
    <row r="19" ht="126" customHeight="1" spans="1:11">
      <c r="A19" s="2" t="s">
        <v>112</v>
      </c>
      <c r="B19" s="2">
        <v>24</v>
      </c>
      <c r="C19" s="2" t="s">
        <v>113</v>
      </c>
      <c r="D19" s="2" t="s">
        <v>114</v>
      </c>
      <c r="E19" s="2" t="s">
        <v>11</v>
      </c>
      <c r="F19" s="2" t="s">
        <v>6</v>
      </c>
      <c r="G19" s="2" t="s">
        <v>11</v>
      </c>
      <c r="H19" s="2" t="s">
        <v>11</v>
      </c>
      <c r="I19" s="2" t="s">
        <v>115</v>
      </c>
      <c r="J19" s="2" t="s">
        <v>47</v>
      </c>
      <c r="K19" s="2" t="s">
        <v>44</v>
      </c>
    </row>
    <row r="20" ht="70" customHeight="1" spans="1:11">
      <c r="A20" s="2" t="s">
        <v>116</v>
      </c>
      <c r="B20" s="2">
        <v>26</v>
      </c>
      <c r="C20" s="2" t="s">
        <v>117</v>
      </c>
      <c r="D20" s="2" t="s">
        <v>118</v>
      </c>
      <c r="E20" s="2" t="s">
        <v>11</v>
      </c>
      <c r="F20" s="2" t="s">
        <v>6</v>
      </c>
      <c r="G20" s="2" t="s">
        <v>11</v>
      </c>
      <c r="H20" s="2" t="s">
        <v>11</v>
      </c>
      <c r="I20" s="2" t="s">
        <v>11</v>
      </c>
      <c r="J20" s="2" t="s">
        <v>47</v>
      </c>
      <c r="K20" s="2" t="s">
        <v>44</v>
      </c>
    </row>
    <row r="21" ht="42" customHeight="1" spans="1:11">
      <c r="A21" s="2" t="s">
        <v>119</v>
      </c>
      <c r="B21" s="2">
        <v>27</v>
      </c>
      <c r="C21" s="2" t="s">
        <v>120</v>
      </c>
      <c r="D21" s="2" t="s">
        <v>121</v>
      </c>
      <c r="E21" s="2" t="s">
        <v>11</v>
      </c>
      <c r="F21" s="2" t="s">
        <v>6</v>
      </c>
      <c r="G21" s="2" t="s">
        <v>122</v>
      </c>
      <c r="H21" s="2" t="s">
        <v>10</v>
      </c>
      <c r="I21" s="2" t="s">
        <v>123</v>
      </c>
      <c r="J21" s="2" t="s">
        <v>47</v>
      </c>
      <c r="K21" s="2" t="s">
        <v>44</v>
      </c>
    </row>
    <row r="22" ht="70" customHeight="1" spans="1:11">
      <c r="A22" s="2" t="s">
        <v>124</v>
      </c>
      <c r="B22" s="2">
        <v>28</v>
      </c>
      <c r="C22" s="2" t="s">
        <v>125</v>
      </c>
      <c r="D22" s="2" t="s">
        <v>126</v>
      </c>
      <c r="E22" s="2" t="s">
        <v>10</v>
      </c>
      <c r="F22" s="2" t="s">
        <v>5</v>
      </c>
      <c r="G22" s="2" t="s">
        <v>10</v>
      </c>
      <c r="H22" s="2" t="s">
        <v>10</v>
      </c>
      <c r="I22" s="2" t="s">
        <v>10</v>
      </c>
      <c r="J22" s="2" t="s">
        <v>47</v>
      </c>
      <c r="K22" s="2" t="s">
        <v>44</v>
      </c>
    </row>
    <row r="23" ht="42" customHeight="1" spans="1:11">
      <c r="A23" s="2" t="s">
        <v>127</v>
      </c>
      <c r="B23" s="2">
        <v>29</v>
      </c>
      <c r="C23" s="2" t="s">
        <v>128</v>
      </c>
      <c r="D23" s="2" t="s">
        <v>129</v>
      </c>
      <c r="E23" s="2" t="s">
        <v>10</v>
      </c>
      <c r="F23" s="2" t="s">
        <v>5</v>
      </c>
      <c r="G23" s="2" t="s">
        <v>130</v>
      </c>
      <c r="H23" s="2" t="s">
        <v>10</v>
      </c>
      <c r="I23" s="2" t="s">
        <v>131</v>
      </c>
      <c r="J23" s="2" t="s">
        <v>47</v>
      </c>
      <c r="K23" s="2" t="s">
        <v>44</v>
      </c>
    </row>
    <row r="24" ht="126" customHeight="1" spans="1:11">
      <c r="A24" s="2" t="s">
        <v>132</v>
      </c>
      <c r="B24" s="2">
        <v>31</v>
      </c>
      <c r="C24" s="2" t="s">
        <v>133</v>
      </c>
      <c r="D24" s="2" t="s">
        <v>134</v>
      </c>
      <c r="E24" s="2" t="s">
        <v>11</v>
      </c>
      <c r="F24" s="2" t="s">
        <v>64</v>
      </c>
      <c r="G24" s="2" t="s">
        <v>135</v>
      </c>
      <c r="H24" s="2" t="s">
        <v>11</v>
      </c>
      <c r="I24" s="2" t="s">
        <v>136</v>
      </c>
      <c r="J24" s="2" t="s">
        <v>137</v>
      </c>
      <c r="K24" s="2" t="s">
        <v>44</v>
      </c>
    </row>
    <row r="25" ht="84" customHeight="1" spans="1:11">
      <c r="A25" s="2" t="s">
        <v>138</v>
      </c>
      <c r="B25" s="2">
        <v>32</v>
      </c>
      <c r="C25" s="2" t="s">
        <v>139</v>
      </c>
      <c r="D25" s="2" t="s">
        <v>140</v>
      </c>
      <c r="E25" s="2" t="s">
        <v>10</v>
      </c>
      <c r="F25" s="2" t="s">
        <v>64</v>
      </c>
      <c r="G25" s="2" t="s">
        <v>141</v>
      </c>
      <c r="H25" s="2" t="s">
        <v>10</v>
      </c>
      <c r="I25" s="2" t="s">
        <v>142</v>
      </c>
      <c r="J25" s="2" t="s">
        <v>143</v>
      </c>
      <c r="K25" s="2" t="s">
        <v>44</v>
      </c>
    </row>
    <row r="26" ht="98" customHeight="1" spans="1:11">
      <c r="A26" s="2" t="s">
        <v>144</v>
      </c>
      <c r="B26" s="2">
        <v>34</v>
      </c>
      <c r="C26" s="2" t="s">
        <v>145</v>
      </c>
      <c r="D26" s="2" t="s">
        <v>146</v>
      </c>
      <c r="E26" s="2" t="s">
        <v>11</v>
      </c>
      <c r="F26" s="2" t="s">
        <v>6</v>
      </c>
      <c r="G26" s="2" t="s">
        <v>11</v>
      </c>
      <c r="H26" s="2" t="s">
        <v>11</v>
      </c>
      <c r="I26" s="2" t="s">
        <v>11</v>
      </c>
      <c r="J26" s="2" t="s">
        <v>147</v>
      </c>
      <c r="K26" s="2" t="s">
        <v>44</v>
      </c>
    </row>
    <row r="27" ht="70" customHeight="1" spans="1:11">
      <c r="A27" s="2" t="s">
        <v>148</v>
      </c>
      <c r="B27" s="2">
        <v>36</v>
      </c>
      <c r="C27" s="2" t="s">
        <v>149</v>
      </c>
      <c r="D27" s="2" t="s">
        <v>150</v>
      </c>
      <c r="E27" s="2" t="s">
        <v>11</v>
      </c>
      <c r="F27" s="2" t="s">
        <v>6</v>
      </c>
      <c r="G27" s="2" t="s">
        <v>11</v>
      </c>
      <c r="H27" s="2" t="s">
        <v>151</v>
      </c>
      <c r="I27" s="2" t="s">
        <v>11</v>
      </c>
      <c r="J27" s="2" t="s">
        <v>147</v>
      </c>
      <c r="K27" s="2" t="s">
        <v>44</v>
      </c>
    </row>
    <row r="28" ht="42" customHeight="1" spans="1:11">
      <c r="A28" s="2" t="s">
        <v>152</v>
      </c>
      <c r="B28" s="2">
        <v>37</v>
      </c>
      <c r="C28" s="2" t="s">
        <v>153</v>
      </c>
      <c r="D28" s="2" t="s">
        <v>154</v>
      </c>
      <c r="E28" s="2" t="s">
        <v>10</v>
      </c>
      <c r="F28" s="2" t="s">
        <v>5</v>
      </c>
      <c r="G28" s="2" t="s">
        <v>10</v>
      </c>
      <c r="H28" s="2" t="s">
        <v>155</v>
      </c>
      <c r="I28" s="2" t="s">
        <v>10</v>
      </c>
      <c r="J28" s="2" t="s">
        <v>147</v>
      </c>
      <c r="K28" s="2" t="s">
        <v>44</v>
      </c>
    </row>
    <row r="29" ht="42" customHeight="1" spans="1:11">
      <c r="A29" s="2" t="s">
        <v>156</v>
      </c>
      <c r="B29" s="2">
        <v>38</v>
      </c>
      <c r="C29" s="2" t="s">
        <v>157</v>
      </c>
      <c r="D29" s="2" t="s">
        <v>158</v>
      </c>
      <c r="E29" s="2" t="s">
        <v>10</v>
      </c>
      <c r="F29" s="2" t="s">
        <v>5</v>
      </c>
      <c r="G29" s="2" t="s">
        <v>10</v>
      </c>
      <c r="H29" s="2" t="s">
        <v>10</v>
      </c>
      <c r="I29" s="2" t="s">
        <v>10</v>
      </c>
      <c r="J29" s="2" t="s">
        <v>159</v>
      </c>
      <c r="K29" s="2" t="s">
        <v>44</v>
      </c>
    </row>
    <row r="30" ht="42" customHeight="1" spans="1:11">
      <c r="A30" s="2" t="s">
        <v>160</v>
      </c>
      <c r="B30" s="2">
        <v>39</v>
      </c>
      <c r="C30" s="2" t="s">
        <v>161</v>
      </c>
      <c r="D30" s="2" t="s">
        <v>162</v>
      </c>
      <c r="E30" s="2" t="s">
        <v>10</v>
      </c>
      <c r="F30" s="2" t="s">
        <v>64</v>
      </c>
      <c r="G30" s="2" t="s">
        <v>11</v>
      </c>
      <c r="H30" s="2" t="s">
        <v>10</v>
      </c>
      <c r="I30" s="2" t="s">
        <v>10</v>
      </c>
      <c r="J30" s="2" t="s">
        <v>163</v>
      </c>
      <c r="K30" s="2" t="s">
        <v>44</v>
      </c>
    </row>
    <row r="31" ht="42" customHeight="1" spans="1:11">
      <c r="A31" s="2" t="s">
        <v>164</v>
      </c>
      <c r="B31" s="2">
        <v>41</v>
      </c>
      <c r="C31" s="2" t="s">
        <v>165</v>
      </c>
      <c r="D31" s="2" t="s">
        <v>154</v>
      </c>
      <c r="E31" s="2" t="s">
        <v>10</v>
      </c>
      <c r="F31" s="2" t="s">
        <v>64</v>
      </c>
      <c r="G31" s="2" t="s">
        <v>11</v>
      </c>
      <c r="H31" s="2" t="s">
        <v>10</v>
      </c>
      <c r="I31" s="2" t="s">
        <v>10</v>
      </c>
      <c r="J31" s="2" t="s">
        <v>163</v>
      </c>
      <c r="K31" s="2" t="s">
        <v>44</v>
      </c>
    </row>
    <row r="32" ht="56" customHeight="1" spans="1:11">
      <c r="A32" s="2" t="s">
        <v>166</v>
      </c>
      <c r="B32" s="2">
        <v>42</v>
      </c>
      <c r="C32" s="2" t="s">
        <v>167</v>
      </c>
      <c r="D32" s="2" t="s">
        <v>168</v>
      </c>
      <c r="E32" s="2" t="s">
        <v>11</v>
      </c>
      <c r="F32" s="2" t="s">
        <v>6</v>
      </c>
      <c r="G32" s="2" t="s">
        <v>11</v>
      </c>
      <c r="H32" s="2" t="s">
        <v>11</v>
      </c>
      <c r="I32" s="2" t="s">
        <v>11</v>
      </c>
      <c r="J32" s="2" t="s">
        <v>163</v>
      </c>
      <c r="K32" s="2" t="s">
        <v>44</v>
      </c>
    </row>
    <row r="33" ht="42" customHeight="1" spans="1:11">
      <c r="A33" s="2" t="s">
        <v>169</v>
      </c>
      <c r="B33" s="2">
        <v>43</v>
      </c>
      <c r="C33" s="2" t="s">
        <v>170</v>
      </c>
      <c r="D33" s="2" t="s">
        <v>171</v>
      </c>
      <c r="E33" s="2" t="s">
        <v>10</v>
      </c>
      <c r="F33" s="2" t="s">
        <v>5</v>
      </c>
      <c r="G33" s="2" t="s">
        <v>10</v>
      </c>
      <c r="H33" s="2" t="s">
        <v>10</v>
      </c>
      <c r="I33" s="2" t="s">
        <v>10</v>
      </c>
      <c r="J33" s="2" t="s">
        <v>163</v>
      </c>
      <c r="K33" s="2" t="s">
        <v>44</v>
      </c>
    </row>
    <row r="34" ht="42" customHeight="1" spans="1:11">
      <c r="A34" s="2" t="s">
        <v>172</v>
      </c>
      <c r="B34" s="2">
        <v>44</v>
      </c>
      <c r="C34" s="2" t="s">
        <v>173</v>
      </c>
      <c r="D34" s="2" t="s">
        <v>174</v>
      </c>
      <c r="E34" s="2" t="s">
        <v>10</v>
      </c>
      <c r="F34" s="2" t="s">
        <v>5</v>
      </c>
      <c r="G34" s="2" t="s">
        <v>10</v>
      </c>
      <c r="H34" s="2" t="s">
        <v>10</v>
      </c>
      <c r="I34" s="2" t="s">
        <v>10</v>
      </c>
      <c r="J34" s="2" t="s">
        <v>163</v>
      </c>
      <c r="K34" s="2" t="s">
        <v>44</v>
      </c>
    </row>
    <row r="35" ht="56" customHeight="1" spans="1:11">
      <c r="A35" s="2" t="s">
        <v>175</v>
      </c>
      <c r="B35" s="2">
        <v>45</v>
      </c>
      <c r="C35" s="2" t="s">
        <v>176</v>
      </c>
      <c r="D35" s="2" t="s">
        <v>177</v>
      </c>
      <c r="E35" s="2" t="s">
        <v>11</v>
      </c>
      <c r="F35" s="2" t="s">
        <v>64</v>
      </c>
      <c r="G35" s="2" t="s">
        <v>11</v>
      </c>
      <c r="H35" s="2" t="s">
        <v>11</v>
      </c>
      <c r="I35" s="2" t="s">
        <v>11</v>
      </c>
      <c r="J35" s="2" t="s">
        <v>44</v>
      </c>
      <c r="K35" s="2" t="s">
        <v>44</v>
      </c>
    </row>
    <row r="36" ht="42" customHeight="1" spans="1:11">
      <c r="A36" s="2" t="s">
        <v>178</v>
      </c>
      <c r="B36" s="2">
        <v>46</v>
      </c>
      <c r="C36" s="2" t="s">
        <v>179</v>
      </c>
      <c r="D36" s="2" t="s">
        <v>180</v>
      </c>
      <c r="E36" s="2" t="s">
        <v>10</v>
      </c>
      <c r="F36" s="2" t="s">
        <v>64</v>
      </c>
      <c r="G36" s="2" t="s">
        <v>11</v>
      </c>
      <c r="H36" s="2" t="s">
        <v>10</v>
      </c>
      <c r="I36" s="2" t="s">
        <v>10</v>
      </c>
      <c r="J36" s="2" t="s">
        <v>163</v>
      </c>
      <c r="K36" s="2" t="s">
        <v>44</v>
      </c>
    </row>
    <row r="37" ht="42" customHeight="1" spans="1:11">
      <c r="A37" s="2" t="s">
        <v>181</v>
      </c>
      <c r="B37" s="2">
        <v>48</v>
      </c>
      <c r="C37" s="2" t="s">
        <v>182</v>
      </c>
      <c r="D37" s="2" t="s">
        <v>183</v>
      </c>
      <c r="E37" s="2" t="s">
        <v>11</v>
      </c>
      <c r="F37" s="2" t="s">
        <v>6</v>
      </c>
      <c r="G37" s="2" t="s">
        <v>11</v>
      </c>
      <c r="H37" s="2" t="s">
        <v>11</v>
      </c>
      <c r="I37" s="2" t="s">
        <v>11</v>
      </c>
      <c r="J37" s="2" t="s">
        <v>44</v>
      </c>
      <c r="K37" s="2" t="s">
        <v>44</v>
      </c>
    </row>
    <row r="38" ht="56" customHeight="1" spans="1:11">
      <c r="A38" s="2" t="s">
        <v>184</v>
      </c>
      <c r="B38" s="2">
        <v>49</v>
      </c>
      <c r="C38" s="2" t="s">
        <v>185</v>
      </c>
      <c r="D38" s="2" t="s">
        <v>186</v>
      </c>
      <c r="E38" s="2" t="s">
        <v>10</v>
      </c>
      <c r="F38" s="2" t="s">
        <v>5</v>
      </c>
      <c r="G38" s="2" t="s">
        <v>10</v>
      </c>
      <c r="H38" s="2" t="s">
        <v>10</v>
      </c>
      <c r="I38" s="2" t="s">
        <v>10</v>
      </c>
      <c r="J38" s="2" t="s">
        <v>44</v>
      </c>
      <c r="K38" s="2" t="s">
        <v>44</v>
      </c>
    </row>
    <row r="39" ht="56" customHeight="1" spans="1:11">
      <c r="A39" s="2" t="s">
        <v>187</v>
      </c>
      <c r="B39" s="2">
        <v>50</v>
      </c>
      <c r="C39" s="2" t="s">
        <v>188</v>
      </c>
      <c r="D39" s="2" t="s">
        <v>189</v>
      </c>
      <c r="E39" s="2" t="s">
        <v>11</v>
      </c>
      <c r="F39" s="2" t="s">
        <v>6</v>
      </c>
      <c r="G39" s="2" t="s">
        <v>11</v>
      </c>
      <c r="H39" s="2" t="s">
        <v>11</v>
      </c>
      <c r="I39" s="2" t="s">
        <v>11</v>
      </c>
      <c r="J39" s="2" t="s">
        <v>44</v>
      </c>
      <c r="K39" s="2" t="s">
        <v>44</v>
      </c>
    </row>
    <row r="40" ht="70" customHeight="1" spans="1:11">
      <c r="A40" s="2" t="s">
        <v>190</v>
      </c>
      <c r="B40" s="2">
        <v>51</v>
      </c>
      <c r="C40" s="2" t="s">
        <v>191</v>
      </c>
      <c r="D40" s="2" t="s">
        <v>192</v>
      </c>
      <c r="E40" s="2" t="s">
        <v>11</v>
      </c>
      <c r="F40" s="2" t="s">
        <v>6</v>
      </c>
      <c r="G40" s="2" t="s">
        <v>11</v>
      </c>
      <c r="H40" s="2" t="s">
        <v>11</v>
      </c>
      <c r="I40" s="2" t="s">
        <v>11</v>
      </c>
      <c r="J40" s="2" t="s">
        <v>44</v>
      </c>
      <c r="K40" s="2" t="s">
        <v>44</v>
      </c>
    </row>
    <row r="41" ht="70" customHeight="1" spans="1:11">
      <c r="A41" s="2" t="s">
        <v>193</v>
      </c>
      <c r="B41" s="2">
        <v>52</v>
      </c>
      <c r="C41" s="2" t="s">
        <v>194</v>
      </c>
      <c r="D41" s="2" t="s">
        <v>195</v>
      </c>
      <c r="E41" s="2" t="s">
        <v>10</v>
      </c>
      <c r="F41" s="2" t="s">
        <v>5</v>
      </c>
      <c r="G41" s="2" t="s">
        <v>10</v>
      </c>
      <c r="H41" s="2" t="s">
        <v>10</v>
      </c>
      <c r="I41" s="2" t="s">
        <v>10</v>
      </c>
      <c r="J41" s="2" t="s">
        <v>44</v>
      </c>
      <c r="K41" s="2" t="s">
        <v>44</v>
      </c>
    </row>
    <row r="42" ht="42" customHeight="1" spans="1:11">
      <c r="A42" s="2" t="s">
        <v>196</v>
      </c>
      <c r="B42" s="2">
        <v>53</v>
      </c>
      <c r="C42" s="2" t="s">
        <v>197</v>
      </c>
      <c r="D42" s="2" t="s">
        <v>198</v>
      </c>
      <c r="E42" s="2" t="s">
        <v>10</v>
      </c>
      <c r="F42" s="2" t="s">
        <v>5</v>
      </c>
      <c r="G42" s="2" t="s">
        <v>10</v>
      </c>
      <c r="H42" s="2" t="s">
        <v>10</v>
      </c>
      <c r="I42" s="2" t="s">
        <v>10</v>
      </c>
      <c r="J42" s="2" t="s">
        <v>44</v>
      </c>
      <c r="K42" s="2" t="s">
        <v>44</v>
      </c>
    </row>
    <row r="43" ht="56" customHeight="1" spans="1:11">
      <c r="A43" s="2" t="s">
        <v>199</v>
      </c>
      <c r="B43" s="2">
        <v>54</v>
      </c>
      <c r="C43" s="2" t="s">
        <v>200</v>
      </c>
      <c r="D43" s="2" t="s">
        <v>201</v>
      </c>
      <c r="E43" s="2" t="s">
        <v>10</v>
      </c>
      <c r="F43" s="2" t="s">
        <v>5</v>
      </c>
      <c r="G43" s="2" t="s">
        <v>10</v>
      </c>
      <c r="H43" s="2" t="s">
        <v>10</v>
      </c>
      <c r="I43" s="2" t="s">
        <v>10</v>
      </c>
      <c r="J43" s="2" t="s">
        <v>44</v>
      </c>
      <c r="K43" s="2" t="s">
        <v>44</v>
      </c>
    </row>
    <row r="44" ht="84" customHeight="1" spans="1:11">
      <c r="A44" s="2" t="s">
        <v>202</v>
      </c>
      <c r="B44" s="2">
        <v>56</v>
      </c>
      <c r="C44" s="2" t="s">
        <v>203</v>
      </c>
      <c r="D44" s="2" t="s">
        <v>204</v>
      </c>
      <c r="E44" s="2" t="s">
        <v>11</v>
      </c>
      <c r="F44" s="2" t="s">
        <v>6</v>
      </c>
      <c r="G44" s="2" t="s">
        <v>11</v>
      </c>
      <c r="H44" s="2" t="s">
        <v>11</v>
      </c>
      <c r="I44" s="2" t="s">
        <v>11</v>
      </c>
      <c r="J44" s="2" t="s">
        <v>44</v>
      </c>
      <c r="K44" s="2" t="s">
        <v>44</v>
      </c>
    </row>
    <row r="45" ht="126" customHeight="1" spans="1:11">
      <c r="A45" s="2" t="s">
        <v>205</v>
      </c>
      <c r="B45" s="2">
        <v>57</v>
      </c>
      <c r="C45" s="2" t="s">
        <v>206</v>
      </c>
      <c r="D45" s="2" t="s">
        <v>207</v>
      </c>
      <c r="E45" s="2" t="s">
        <v>11</v>
      </c>
      <c r="F45" s="2" t="s">
        <v>6</v>
      </c>
      <c r="G45" s="2" t="s">
        <v>11</v>
      </c>
      <c r="H45" s="2" t="s">
        <v>11</v>
      </c>
      <c r="I45" s="2" t="s">
        <v>11</v>
      </c>
      <c r="J45" s="2" t="s">
        <v>44</v>
      </c>
      <c r="K45" s="2" t="s">
        <v>44</v>
      </c>
    </row>
    <row r="46" ht="84" customHeight="1" spans="1:11">
      <c r="A46" s="2" t="s">
        <v>208</v>
      </c>
      <c r="B46" s="2">
        <v>58</v>
      </c>
      <c r="C46" s="2" t="s">
        <v>209</v>
      </c>
      <c r="D46" s="2" t="s">
        <v>210</v>
      </c>
      <c r="E46" s="2" t="s">
        <v>11</v>
      </c>
      <c r="F46" s="2" t="s">
        <v>6</v>
      </c>
      <c r="G46" s="2" t="s">
        <v>11</v>
      </c>
      <c r="H46" s="2" t="s">
        <v>11</v>
      </c>
      <c r="I46" s="2" t="s">
        <v>11</v>
      </c>
      <c r="J46" s="2" t="s">
        <v>44</v>
      </c>
      <c r="K46" s="2" t="s">
        <v>44</v>
      </c>
    </row>
    <row r="47" ht="84" customHeight="1" spans="1:11">
      <c r="A47" s="2" t="s">
        <v>211</v>
      </c>
      <c r="B47" s="2">
        <v>59</v>
      </c>
      <c r="C47" s="2" t="s">
        <v>212</v>
      </c>
      <c r="D47" s="2" t="s">
        <v>213</v>
      </c>
      <c r="E47" s="2" t="s">
        <v>11</v>
      </c>
      <c r="F47" s="2" t="s">
        <v>6</v>
      </c>
      <c r="G47" s="2" t="s">
        <v>11</v>
      </c>
      <c r="H47" s="2" t="s">
        <v>11</v>
      </c>
      <c r="I47" s="2" t="s">
        <v>11</v>
      </c>
      <c r="J47" s="2" t="s">
        <v>44</v>
      </c>
      <c r="K47" s="2" t="s">
        <v>44</v>
      </c>
    </row>
    <row r="48" ht="126" customHeight="1" spans="1:11">
      <c r="A48" s="2" t="s">
        <v>214</v>
      </c>
      <c r="B48" s="2">
        <v>61</v>
      </c>
      <c r="C48" s="2" t="s">
        <v>215</v>
      </c>
      <c r="D48" s="2" t="s">
        <v>216</v>
      </c>
      <c r="E48" s="2" t="s">
        <v>11</v>
      </c>
      <c r="F48" s="2" t="s">
        <v>6</v>
      </c>
      <c r="G48" s="2" t="s">
        <v>11</v>
      </c>
      <c r="H48" s="2" t="s">
        <v>11</v>
      </c>
      <c r="I48" s="2" t="s">
        <v>11</v>
      </c>
      <c r="J48" s="2" t="s">
        <v>44</v>
      </c>
      <c r="K48" s="2" t="s">
        <v>44</v>
      </c>
    </row>
    <row r="49" ht="168" customHeight="1" spans="1:11">
      <c r="A49" s="2" t="s">
        <v>217</v>
      </c>
      <c r="B49" s="2">
        <v>62</v>
      </c>
      <c r="C49" s="2" t="s">
        <v>218</v>
      </c>
      <c r="D49" s="2" t="s">
        <v>219</v>
      </c>
      <c r="E49" s="2" t="s">
        <v>11</v>
      </c>
      <c r="F49" s="2" t="s">
        <v>6</v>
      </c>
      <c r="G49" s="2" t="s">
        <v>11</v>
      </c>
      <c r="H49" s="2" t="s">
        <v>11</v>
      </c>
      <c r="I49" s="2" t="s">
        <v>11</v>
      </c>
      <c r="J49" s="2" t="s">
        <v>44</v>
      </c>
      <c r="K49" s="2" t="s">
        <v>44</v>
      </c>
    </row>
    <row r="50" ht="70" customHeight="1" spans="1:11">
      <c r="A50" s="2" t="s">
        <v>220</v>
      </c>
      <c r="B50" s="2">
        <v>63</v>
      </c>
      <c r="C50" s="2" t="s">
        <v>221</v>
      </c>
      <c r="D50" s="2" t="s">
        <v>222</v>
      </c>
      <c r="E50" s="2" t="s">
        <v>11</v>
      </c>
      <c r="F50" s="2" t="s">
        <v>6</v>
      </c>
      <c r="G50" s="2" t="s">
        <v>11</v>
      </c>
      <c r="H50" s="2" t="s">
        <v>11</v>
      </c>
      <c r="I50" s="2" t="s">
        <v>11</v>
      </c>
      <c r="J50" s="2" t="s">
        <v>44</v>
      </c>
      <c r="K50" s="2" t="s">
        <v>44</v>
      </c>
    </row>
    <row r="51" ht="168" customHeight="1" spans="1:11">
      <c r="A51" s="2" t="s">
        <v>223</v>
      </c>
      <c r="B51" s="2">
        <v>64</v>
      </c>
      <c r="C51" s="2" t="s">
        <v>224</v>
      </c>
      <c r="D51" s="2" t="s">
        <v>225</v>
      </c>
      <c r="E51" s="2" t="s">
        <v>11</v>
      </c>
      <c r="F51" s="2" t="s">
        <v>6</v>
      </c>
      <c r="G51" s="2" t="s">
        <v>11</v>
      </c>
      <c r="H51" s="2" t="s">
        <v>11</v>
      </c>
      <c r="I51" s="2" t="s">
        <v>11</v>
      </c>
      <c r="J51" s="2" t="s">
        <v>44</v>
      </c>
      <c r="K51" s="2" t="s">
        <v>44</v>
      </c>
    </row>
    <row r="52" ht="70" customHeight="1" spans="1:11">
      <c r="A52" s="2" t="s">
        <v>226</v>
      </c>
      <c r="B52" s="2">
        <v>67</v>
      </c>
      <c r="C52" s="2" t="s">
        <v>227</v>
      </c>
      <c r="D52" s="2" t="s">
        <v>228</v>
      </c>
      <c r="E52" s="2" t="s">
        <v>11</v>
      </c>
      <c r="F52" s="2" t="s">
        <v>6</v>
      </c>
      <c r="G52" s="2" t="s">
        <v>11</v>
      </c>
      <c r="H52" s="2" t="s">
        <v>11</v>
      </c>
      <c r="I52" s="2" t="s">
        <v>11</v>
      </c>
      <c r="J52" s="2" t="s">
        <v>44</v>
      </c>
      <c r="K52" s="2" t="s">
        <v>44</v>
      </c>
    </row>
    <row r="53" ht="56" customHeight="1" spans="1:11">
      <c r="A53" s="2" t="s">
        <v>229</v>
      </c>
      <c r="B53" s="2">
        <v>68</v>
      </c>
      <c r="C53" s="2" t="s">
        <v>230</v>
      </c>
      <c r="D53" s="2" t="s">
        <v>231</v>
      </c>
      <c r="E53" s="2" t="s">
        <v>11</v>
      </c>
      <c r="F53" s="2" t="s">
        <v>6</v>
      </c>
      <c r="G53" s="2" t="s">
        <v>11</v>
      </c>
      <c r="H53" s="2" t="s">
        <v>11</v>
      </c>
      <c r="I53" s="2" t="s">
        <v>11</v>
      </c>
      <c r="J53" s="2" t="s">
        <v>44</v>
      </c>
      <c r="K53" s="2" t="s">
        <v>44</v>
      </c>
    </row>
    <row r="54" ht="56" customHeight="1" spans="1:11">
      <c r="A54" s="2" t="s">
        <v>232</v>
      </c>
      <c r="B54" s="2">
        <v>70</v>
      </c>
      <c r="C54" s="2" t="s">
        <v>233</v>
      </c>
      <c r="D54" s="2" t="s">
        <v>231</v>
      </c>
      <c r="E54" s="2" t="s">
        <v>10</v>
      </c>
      <c r="F54" s="2" t="s">
        <v>5</v>
      </c>
      <c r="G54" s="2" t="s">
        <v>10</v>
      </c>
      <c r="H54" s="2" t="s">
        <v>10</v>
      </c>
      <c r="I54" s="2" t="s">
        <v>10</v>
      </c>
      <c r="J54" s="2" t="s">
        <v>44</v>
      </c>
      <c r="K54" s="2" t="s">
        <v>44</v>
      </c>
    </row>
    <row r="55" ht="56" customHeight="1" spans="1:11">
      <c r="A55" s="2" t="s">
        <v>234</v>
      </c>
      <c r="B55" s="2">
        <v>72</v>
      </c>
      <c r="C55" s="2" t="s">
        <v>235</v>
      </c>
      <c r="D55" s="2" t="s">
        <v>231</v>
      </c>
      <c r="E55" s="2" t="s">
        <v>10</v>
      </c>
      <c r="F55" s="2" t="s">
        <v>5</v>
      </c>
      <c r="G55" s="2" t="s">
        <v>10</v>
      </c>
      <c r="H55" s="2" t="s">
        <v>10</v>
      </c>
      <c r="I55" s="2" t="s">
        <v>10</v>
      </c>
      <c r="J55" s="2" t="s">
        <v>44</v>
      </c>
      <c r="K55" s="2" t="s">
        <v>44</v>
      </c>
    </row>
    <row r="56" ht="56" customHeight="1" spans="1:11">
      <c r="A56" s="2" t="s">
        <v>236</v>
      </c>
      <c r="B56" s="2">
        <v>73</v>
      </c>
      <c r="C56" s="2" t="s">
        <v>237</v>
      </c>
      <c r="D56" s="2" t="s">
        <v>238</v>
      </c>
      <c r="E56" s="2" t="s">
        <v>11</v>
      </c>
      <c r="F56" s="2" t="s">
        <v>6</v>
      </c>
      <c r="G56" s="2" t="s">
        <v>11</v>
      </c>
      <c r="H56" s="2" t="s">
        <v>11</v>
      </c>
      <c r="I56" s="2" t="s">
        <v>11</v>
      </c>
      <c r="J56" s="2" t="s">
        <v>44</v>
      </c>
      <c r="K56" s="2" t="s">
        <v>44</v>
      </c>
    </row>
    <row r="57" ht="70" customHeight="1" spans="1:11">
      <c r="A57" s="2" t="s">
        <v>239</v>
      </c>
      <c r="B57" s="2">
        <v>74</v>
      </c>
      <c r="C57" s="2" t="s">
        <v>240</v>
      </c>
      <c r="D57" s="2" t="s">
        <v>228</v>
      </c>
      <c r="E57" s="2" t="s">
        <v>11</v>
      </c>
      <c r="F57" s="2" t="s">
        <v>6</v>
      </c>
      <c r="G57" s="2" t="s">
        <v>11</v>
      </c>
      <c r="H57" s="2" t="s">
        <v>11</v>
      </c>
      <c r="I57" s="2" t="s">
        <v>11</v>
      </c>
      <c r="J57" s="2" t="s">
        <v>44</v>
      </c>
      <c r="K57" s="2" t="s">
        <v>44</v>
      </c>
    </row>
    <row r="58" ht="126" customHeight="1" spans="1:11">
      <c r="A58" s="2" t="s">
        <v>241</v>
      </c>
      <c r="B58" s="2">
        <v>75</v>
      </c>
      <c r="C58" s="2" t="s">
        <v>242</v>
      </c>
      <c r="D58" s="2" t="s">
        <v>243</v>
      </c>
      <c r="E58" s="2" t="s">
        <v>10</v>
      </c>
      <c r="F58" s="2" t="s">
        <v>5</v>
      </c>
      <c r="G58" s="2" t="s">
        <v>10</v>
      </c>
      <c r="H58" s="2" t="s">
        <v>10</v>
      </c>
      <c r="I58" s="2" t="s">
        <v>10</v>
      </c>
      <c r="J58" s="2" t="s">
        <v>44</v>
      </c>
      <c r="K58" s="2" t="s">
        <v>44</v>
      </c>
    </row>
    <row r="59" ht="98" customHeight="1" spans="1:11">
      <c r="A59" s="2" t="s">
        <v>244</v>
      </c>
      <c r="B59" s="2">
        <v>77</v>
      </c>
      <c r="C59" s="2" t="s">
        <v>245</v>
      </c>
      <c r="D59" s="2" t="s">
        <v>246</v>
      </c>
      <c r="E59" s="2" t="s">
        <v>10</v>
      </c>
      <c r="F59" s="2" t="s">
        <v>5</v>
      </c>
      <c r="G59" s="2" t="s">
        <v>10</v>
      </c>
      <c r="H59" s="2" t="s">
        <v>10</v>
      </c>
      <c r="I59" s="2" t="s">
        <v>10</v>
      </c>
      <c r="J59" s="2" t="s">
        <v>44</v>
      </c>
      <c r="K59" s="2" t="s">
        <v>44</v>
      </c>
    </row>
    <row r="60" ht="126" customHeight="1" spans="1:11">
      <c r="A60" s="2" t="s">
        <v>247</v>
      </c>
      <c r="B60" s="2">
        <v>78</v>
      </c>
      <c r="C60" s="2" t="s">
        <v>248</v>
      </c>
      <c r="D60" s="2" t="s">
        <v>249</v>
      </c>
      <c r="E60" s="2" t="s">
        <v>11</v>
      </c>
      <c r="F60" s="2" t="s">
        <v>6</v>
      </c>
      <c r="G60" s="2" t="s">
        <v>11</v>
      </c>
      <c r="H60" s="2" t="s">
        <v>11</v>
      </c>
      <c r="I60" s="2" t="s">
        <v>11</v>
      </c>
      <c r="J60" s="2" t="s">
        <v>44</v>
      </c>
      <c r="K60" s="2" t="s">
        <v>44</v>
      </c>
    </row>
    <row r="61" ht="112" customHeight="1" spans="1:11">
      <c r="A61" s="2" t="s">
        <v>250</v>
      </c>
      <c r="B61" s="2">
        <v>79</v>
      </c>
      <c r="C61" s="2" t="s">
        <v>251</v>
      </c>
      <c r="D61" s="2" t="s">
        <v>252</v>
      </c>
      <c r="E61" s="2" t="s">
        <v>11</v>
      </c>
      <c r="F61" s="2" t="s">
        <v>6</v>
      </c>
      <c r="G61" s="2" t="s">
        <v>11</v>
      </c>
      <c r="H61" s="2" t="s">
        <v>11</v>
      </c>
      <c r="I61" s="2" t="s">
        <v>11</v>
      </c>
      <c r="J61" s="2" t="s">
        <v>44</v>
      </c>
      <c r="K61" s="2" t="s">
        <v>44</v>
      </c>
    </row>
    <row r="62" ht="409" customHeight="1" spans="1:11">
      <c r="A62" s="2" t="s">
        <v>253</v>
      </c>
      <c r="B62" s="2">
        <v>82</v>
      </c>
      <c r="C62" s="2" t="s">
        <v>254</v>
      </c>
      <c r="D62" s="2" t="s">
        <v>255</v>
      </c>
      <c r="E62" s="2" t="s">
        <v>10</v>
      </c>
      <c r="F62" s="2" t="s">
        <v>5</v>
      </c>
      <c r="G62" s="2" t="s">
        <v>10</v>
      </c>
      <c r="H62" s="2" t="s">
        <v>10</v>
      </c>
      <c r="I62" s="2" t="s">
        <v>10</v>
      </c>
      <c r="J62" s="2" t="s">
        <v>44</v>
      </c>
      <c r="K62" s="2" t="s">
        <v>44</v>
      </c>
    </row>
    <row r="63" ht="84" customHeight="1" spans="1:11">
      <c r="A63" s="2" t="s">
        <v>256</v>
      </c>
      <c r="B63" s="2">
        <v>83</v>
      </c>
      <c r="C63" s="2" t="s">
        <v>257</v>
      </c>
      <c r="D63" s="2" t="s">
        <v>258</v>
      </c>
      <c r="E63" s="2" t="s">
        <v>11</v>
      </c>
      <c r="F63" s="2" t="s">
        <v>64</v>
      </c>
      <c r="G63" s="2" t="s">
        <v>11</v>
      </c>
      <c r="H63" s="2" t="s">
        <v>11</v>
      </c>
      <c r="I63" s="2" t="s">
        <v>11</v>
      </c>
      <c r="J63" s="2" t="s">
        <v>259</v>
      </c>
      <c r="K63" s="2" t="s">
        <v>44</v>
      </c>
    </row>
    <row r="64" ht="168" customHeight="1" spans="1:11">
      <c r="A64" s="2" t="s">
        <v>260</v>
      </c>
      <c r="B64" s="2">
        <v>84</v>
      </c>
      <c r="C64" s="2" t="s">
        <v>261</v>
      </c>
      <c r="D64" s="2" t="s">
        <v>262</v>
      </c>
      <c r="E64" s="2" t="s">
        <v>11</v>
      </c>
      <c r="F64" s="2" t="s">
        <v>64</v>
      </c>
      <c r="G64" s="2" t="s">
        <v>263</v>
      </c>
      <c r="H64" s="2" t="s">
        <v>11</v>
      </c>
      <c r="I64" s="2" t="s">
        <v>11</v>
      </c>
      <c r="J64" s="2" t="s">
        <v>264</v>
      </c>
      <c r="K64" s="2" t="s">
        <v>44</v>
      </c>
    </row>
    <row r="65" ht="42" customHeight="1" spans="1:11">
      <c r="A65" s="2" t="s">
        <v>265</v>
      </c>
      <c r="B65" s="2">
        <v>85</v>
      </c>
      <c r="C65" s="2" t="s">
        <v>266</v>
      </c>
      <c r="D65" s="2" t="s">
        <v>267</v>
      </c>
      <c r="E65" s="2" t="s">
        <v>10</v>
      </c>
      <c r="F65" s="2" t="s">
        <v>5</v>
      </c>
      <c r="G65" s="2" t="s">
        <v>10</v>
      </c>
      <c r="H65" s="2" t="s">
        <v>10</v>
      </c>
      <c r="I65" s="2" t="s">
        <v>10</v>
      </c>
      <c r="J65" s="2" t="s">
        <v>268</v>
      </c>
      <c r="K65" s="2" t="s">
        <v>44</v>
      </c>
    </row>
    <row r="66" ht="56" customHeight="1" spans="1:11">
      <c r="A66" s="2" t="s">
        <v>269</v>
      </c>
      <c r="B66" s="2">
        <v>86</v>
      </c>
      <c r="C66" s="2" t="s">
        <v>270</v>
      </c>
      <c r="D66" s="2" t="s">
        <v>271</v>
      </c>
      <c r="E66" s="2" t="s">
        <v>11</v>
      </c>
      <c r="F66" s="2" t="s">
        <v>6</v>
      </c>
      <c r="G66" s="2" t="s">
        <v>11</v>
      </c>
      <c r="H66" s="2" t="s">
        <v>11</v>
      </c>
      <c r="I66" s="2" t="s">
        <v>11</v>
      </c>
      <c r="J66" s="2" t="s">
        <v>44</v>
      </c>
      <c r="K66" s="2" t="s">
        <v>44</v>
      </c>
    </row>
    <row r="67" ht="70" customHeight="1" spans="1:11">
      <c r="A67" s="2" t="s">
        <v>272</v>
      </c>
      <c r="B67" s="2">
        <v>87</v>
      </c>
      <c r="C67" s="2" t="s">
        <v>273</v>
      </c>
      <c r="D67" s="2" t="s">
        <v>274</v>
      </c>
      <c r="E67" s="2" t="s">
        <v>10</v>
      </c>
      <c r="F67" s="2" t="s">
        <v>5</v>
      </c>
      <c r="G67" s="2" t="s">
        <v>10</v>
      </c>
      <c r="H67" s="2" t="s">
        <v>10</v>
      </c>
      <c r="I67" s="2" t="s">
        <v>10</v>
      </c>
      <c r="J67" s="2" t="s">
        <v>44</v>
      </c>
      <c r="K67" s="2" t="s">
        <v>44</v>
      </c>
    </row>
    <row r="68" ht="70" customHeight="1" spans="1:11">
      <c r="A68" s="2" t="s">
        <v>275</v>
      </c>
      <c r="B68" s="2">
        <v>88</v>
      </c>
      <c r="C68" s="2" t="s">
        <v>276</v>
      </c>
      <c r="D68" s="2" t="s">
        <v>277</v>
      </c>
      <c r="E68" s="2" t="s">
        <v>11</v>
      </c>
      <c r="F68" s="2" t="s">
        <v>6</v>
      </c>
      <c r="G68" s="2" t="s">
        <v>11</v>
      </c>
      <c r="H68" s="2" t="s">
        <v>11</v>
      </c>
      <c r="I68" s="2" t="s">
        <v>11</v>
      </c>
      <c r="J68" s="2" t="s">
        <v>44</v>
      </c>
      <c r="K68" s="2" t="s">
        <v>44</v>
      </c>
    </row>
    <row r="69" ht="56" customHeight="1" spans="1:11">
      <c r="A69" s="2" t="s">
        <v>278</v>
      </c>
      <c r="B69" s="2">
        <v>89</v>
      </c>
      <c r="C69" s="2" t="s">
        <v>279</v>
      </c>
      <c r="D69" s="2" t="s">
        <v>280</v>
      </c>
      <c r="E69" s="2" t="s">
        <v>11</v>
      </c>
      <c r="F69" s="2" t="s">
        <v>6</v>
      </c>
      <c r="G69" s="2" t="s">
        <v>11</v>
      </c>
      <c r="H69" s="2" t="s">
        <v>11</v>
      </c>
      <c r="I69" s="2" t="s">
        <v>11</v>
      </c>
      <c r="J69" s="2" t="s">
        <v>44</v>
      </c>
      <c r="K69" s="2" t="s">
        <v>44</v>
      </c>
    </row>
    <row r="70" ht="84" customHeight="1" spans="1:11">
      <c r="A70" s="2" t="s">
        <v>281</v>
      </c>
      <c r="B70" s="2">
        <v>90</v>
      </c>
      <c r="C70" s="2" t="s">
        <v>282</v>
      </c>
      <c r="D70" s="2" t="s">
        <v>283</v>
      </c>
      <c r="E70" s="2" t="s">
        <v>10</v>
      </c>
      <c r="F70" s="2" t="s">
        <v>5</v>
      </c>
      <c r="G70" s="2" t="s">
        <v>10</v>
      </c>
      <c r="H70" s="2" t="s">
        <v>10</v>
      </c>
      <c r="I70" s="2" t="s">
        <v>10</v>
      </c>
      <c r="J70" s="2" t="s">
        <v>44</v>
      </c>
      <c r="K70" s="2" t="s">
        <v>44</v>
      </c>
    </row>
    <row r="71" ht="70" customHeight="1" spans="1:11">
      <c r="A71" s="2" t="s">
        <v>284</v>
      </c>
      <c r="B71" s="2">
        <v>91</v>
      </c>
      <c r="C71" s="2" t="s">
        <v>285</v>
      </c>
      <c r="D71" s="2" t="s">
        <v>286</v>
      </c>
      <c r="E71" s="2" t="s">
        <v>11</v>
      </c>
      <c r="F71" s="2" t="s">
        <v>6</v>
      </c>
      <c r="G71" s="2" t="s">
        <v>11</v>
      </c>
      <c r="H71" s="2" t="s">
        <v>11</v>
      </c>
      <c r="I71" s="2" t="s">
        <v>11</v>
      </c>
      <c r="J71" s="2" t="s">
        <v>44</v>
      </c>
      <c r="K71" s="2" t="s">
        <v>44</v>
      </c>
    </row>
    <row r="72" ht="56" customHeight="1" spans="1:11">
      <c r="A72" s="2" t="s">
        <v>287</v>
      </c>
      <c r="B72" s="2">
        <v>92</v>
      </c>
      <c r="C72" s="2" t="s">
        <v>288</v>
      </c>
      <c r="D72" s="2" t="s">
        <v>289</v>
      </c>
      <c r="E72" s="2" t="s">
        <v>10</v>
      </c>
      <c r="F72" s="2" t="s">
        <v>5</v>
      </c>
      <c r="G72" s="2" t="s">
        <v>10</v>
      </c>
      <c r="H72" s="2" t="s">
        <v>10</v>
      </c>
      <c r="I72" s="2" t="s">
        <v>10</v>
      </c>
      <c r="J72" s="2" t="s">
        <v>44</v>
      </c>
      <c r="K72" s="2" t="s">
        <v>44</v>
      </c>
    </row>
    <row r="73" ht="98" customHeight="1" spans="1:11">
      <c r="A73" s="2" t="s">
        <v>290</v>
      </c>
      <c r="B73" s="2">
        <v>93</v>
      </c>
      <c r="C73" s="2" t="s">
        <v>291</v>
      </c>
      <c r="D73" s="2" t="s">
        <v>292</v>
      </c>
      <c r="E73" s="2" t="s">
        <v>11</v>
      </c>
      <c r="F73" s="2" t="s">
        <v>6</v>
      </c>
      <c r="G73" s="2" t="s">
        <v>11</v>
      </c>
      <c r="H73" s="2" t="s">
        <v>11</v>
      </c>
      <c r="I73" s="2" t="s">
        <v>11</v>
      </c>
      <c r="J73" s="2" t="s">
        <v>44</v>
      </c>
      <c r="K73" s="2" t="s">
        <v>44</v>
      </c>
    </row>
    <row r="74" ht="98" customHeight="1" spans="1:11">
      <c r="A74" s="2" t="s">
        <v>293</v>
      </c>
      <c r="B74" s="2">
        <v>94</v>
      </c>
      <c r="C74" s="2" t="s">
        <v>294</v>
      </c>
      <c r="D74" s="2" t="s">
        <v>295</v>
      </c>
      <c r="E74" s="2" t="s">
        <v>11</v>
      </c>
      <c r="F74" s="2" t="s">
        <v>6</v>
      </c>
      <c r="G74" s="2" t="s">
        <v>11</v>
      </c>
      <c r="H74" s="2" t="s">
        <v>11</v>
      </c>
      <c r="I74" s="2" t="s">
        <v>11</v>
      </c>
      <c r="J74" s="2" t="s">
        <v>44</v>
      </c>
      <c r="K74" s="2" t="s">
        <v>44</v>
      </c>
    </row>
    <row r="75" ht="126" customHeight="1" spans="1:11">
      <c r="A75" s="2" t="s">
        <v>296</v>
      </c>
      <c r="B75" s="2">
        <v>95</v>
      </c>
      <c r="C75" s="2" t="s">
        <v>297</v>
      </c>
      <c r="D75" s="2" t="s">
        <v>298</v>
      </c>
      <c r="E75" s="2" t="s">
        <v>11</v>
      </c>
      <c r="F75" s="2" t="s">
        <v>64</v>
      </c>
      <c r="G75" s="2" t="s">
        <v>299</v>
      </c>
      <c r="H75" s="2" t="s">
        <v>11</v>
      </c>
      <c r="I75" s="2" t="s">
        <v>10</v>
      </c>
      <c r="J75" s="2" t="s">
        <v>300</v>
      </c>
      <c r="K75" s="2" t="s">
        <v>44</v>
      </c>
    </row>
    <row r="76" ht="42" customHeight="1" spans="1:11">
      <c r="A76" s="2" t="s">
        <v>301</v>
      </c>
      <c r="B76" s="2">
        <v>96</v>
      </c>
      <c r="C76" s="2" t="s">
        <v>302</v>
      </c>
      <c r="D76" s="2" t="s">
        <v>303</v>
      </c>
      <c r="E76" s="2" t="s">
        <v>10</v>
      </c>
      <c r="F76" s="2" t="s">
        <v>5</v>
      </c>
      <c r="G76" s="2" t="s">
        <v>10</v>
      </c>
      <c r="H76" s="2" t="s">
        <v>10</v>
      </c>
      <c r="I76" s="2" t="s">
        <v>10</v>
      </c>
      <c r="J76" s="2" t="s">
        <v>44</v>
      </c>
      <c r="K76" s="2" t="s">
        <v>44</v>
      </c>
    </row>
    <row r="77" ht="42" customHeight="1" spans="1:11">
      <c r="A77" s="2" t="s">
        <v>304</v>
      </c>
      <c r="B77" s="2">
        <v>97</v>
      </c>
      <c r="C77" s="2" t="s">
        <v>305</v>
      </c>
      <c r="D77" s="2" t="s">
        <v>306</v>
      </c>
      <c r="E77" s="2" t="s">
        <v>10</v>
      </c>
      <c r="F77" s="2" t="s">
        <v>5</v>
      </c>
      <c r="G77" s="2" t="s">
        <v>10</v>
      </c>
      <c r="H77" s="2" t="s">
        <v>10</v>
      </c>
      <c r="I77" s="2" t="s">
        <v>10</v>
      </c>
      <c r="J77" s="2" t="s">
        <v>44</v>
      </c>
      <c r="K77" s="2" t="s">
        <v>44</v>
      </c>
    </row>
    <row r="78" ht="56" customHeight="1" spans="1:11">
      <c r="A78" s="2" t="s">
        <v>307</v>
      </c>
      <c r="B78" s="2">
        <v>98</v>
      </c>
      <c r="C78" s="2" t="s">
        <v>308</v>
      </c>
      <c r="D78" s="2" t="s">
        <v>309</v>
      </c>
      <c r="E78" s="2" t="s">
        <v>10</v>
      </c>
      <c r="F78" s="2" t="s">
        <v>64</v>
      </c>
      <c r="G78" s="2" t="s">
        <v>10</v>
      </c>
      <c r="H78" s="2" t="s">
        <v>10</v>
      </c>
      <c r="I78" s="2" t="s">
        <v>10</v>
      </c>
      <c r="J78" s="2" t="s">
        <v>44</v>
      </c>
      <c r="K78" s="2" t="s">
        <v>44</v>
      </c>
    </row>
    <row r="79" ht="98" customHeight="1" spans="1:11">
      <c r="A79" s="2" t="s">
        <v>310</v>
      </c>
      <c r="B79" s="2">
        <v>99</v>
      </c>
      <c r="C79" s="2" t="s">
        <v>311</v>
      </c>
      <c r="D79" s="2" t="s">
        <v>312</v>
      </c>
      <c r="E79" s="2" t="s">
        <v>11</v>
      </c>
      <c r="F79" s="2" t="s">
        <v>6</v>
      </c>
      <c r="G79" s="2" t="s">
        <v>11</v>
      </c>
      <c r="H79" s="2" t="s">
        <v>11</v>
      </c>
      <c r="I79" s="2" t="s">
        <v>11</v>
      </c>
      <c r="J79" s="2" t="s">
        <v>44</v>
      </c>
      <c r="K79" s="2" t="s">
        <v>44</v>
      </c>
    </row>
    <row r="80" ht="42" customHeight="1" spans="1:11">
      <c r="A80" s="2" t="s">
        <v>313</v>
      </c>
      <c r="B80" s="2">
        <v>100</v>
      </c>
      <c r="C80" s="2" t="s">
        <v>314</v>
      </c>
      <c r="D80" s="2" t="s">
        <v>315</v>
      </c>
      <c r="E80" s="2" t="s">
        <v>10</v>
      </c>
      <c r="F80" s="2" t="s">
        <v>5</v>
      </c>
      <c r="G80" s="2" t="s">
        <v>10</v>
      </c>
      <c r="H80" s="2" t="s">
        <v>10</v>
      </c>
      <c r="I80" s="2" t="s">
        <v>10</v>
      </c>
      <c r="J80" s="2" t="s">
        <v>44</v>
      </c>
      <c r="K80" s="2" t="s">
        <v>44</v>
      </c>
    </row>
    <row r="81" ht="56" customHeight="1" spans="1:11">
      <c r="A81" s="2" t="s">
        <v>316</v>
      </c>
      <c r="B81" s="2">
        <v>102</v>
      </c>
      <c r="C81" s="2" t="s">
        <v>317</v>
      </c>
      <c r="D81" s="2" t="s">
        <v>318</v>
      </c>
      <c r="E81" s="2" t="s">
        <v>11</v>
      </c>
      <c r="F81" s="2" t="s">
        <v>6</v>
      </c>
      <c r="G81" s="2" t="s">
        <v>11</v>
      </c>
      <c r="H81" s="2" t="s">
        <v>11</v>
      </c>
      <c r="I81" s="2" t="s">
        <v>11</v>
      </c>
      <c r="J81" s="2" t="s">
        <v>44</v>
      </c>
      <c r="K81" s="2" t="s">
        <v>44</v>
      </c>
    </row>
    <row r="82" ht="42" customHeight="1" spans="1:11">
      <c r="A82" s="2" t="s">
        <v>319</v>
      </c>
      <c r="B82" s="2">
        <v>103</v>
      </c>
      <c r="C82" s="2" t="s">
        <v>320</v>
      </c>
      <c r="D82" s="2" t="s">
        <v>321</v>
      </c>
      <c r="E82" s="2" t="s">
        <v>10</v>
      </c>
      <c r="F82" s="2" t="s">
        <v>64</v>
      </c>
      <c r="G82" s="2" t="s">
        <v>10</v>
      </c>
      <c r="H82" s="2" t="s">
        <v>10</v>
      </c>
      <c r="I82" s="2" t="s">
        <v>10</v>
      </c>
      <c r="J82" s="2" t="s">
        <v>322</v>
      </c>
      <c r="K82" s="2" t="s">
        <v>44</v>
      </c>
    </row>
  </sheetData>
  <conditionalFormatting sqref="F2:F82">
    <cfRule type="containsText" dxfId="0" priority="1" operator="between" text="Edge case">
      <formula>NOT(ISERROR(SEARCH("Edge case",F2)))</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4"/>
  <cols>
    <col min="1" max="2" width="12" customWidth="1"/>
    <col min="3" max="3" width="95" customWidth="1"/>
    <col min="4" max="4" width="45" customWidth="1"/>
    <col min="5" max="5" width="20" customWidth="1"/>
    <col min="6" max="6" width="23" customWidth="1"/>
    <col min="7" max="9" width="27" customWidth="1"/>
    <col min="10" max="10" width="70" customWidth="1"/>
    <col min="11" max="11" width="27" customWidth="1"/>
  </cols>
  <sheetData>
    <row r="1" ht="32" customHeight="1" spans="1:11">
      <c r="A1" s="1" t="s">
        <v>30</v>
      </c>
      <c r="B1" s="1" t="s">
        <v>31</v>
      </c>
      <c r="C1" s="1" t="s">
        <v>32</v>
      </c>
      <c r="D1" s="1" t="s">
        <v>16</v>
      </c>
      <c r="E1" s="1" t="s">
        <v>33</v>
      </c>
      <c r="F1" s="1" t="s">
        <v>34</v>
      </c>
      <c r="G1" s="1" t="s">
        <v>35</v>
      </c>
      <c r="H1" s="1" t="s">
        <v>36</v>
      </c>
      <c r="I1" s="1" t="s">
        <v>37</v>
      </c>
      <c r="J1" s="1" t="s">
        <v>38</v>
      </c>
      <c r="K1" s="1" t="s">
        <v>39</v>
      </c>
    </row>
    <row r="2" ht="42" customHeight="1" spans="1:11">
      <c r="A2" s="2" t="s">
        <v>323</v>
      </c>
      <c r="B2" s="2">
        <v>8</v>
      </c>
      <c r="C2" s="2" t="s">
        <v>324</v>
      </c>
      <c r="D2" s="2" t="s">
        <v>50</v>
      </c>
      <c r="E2" s="2" t="s">
        <v>11</v>
      </c>
      <c r="F2" s="2" t="s">
        <v>6</v>
      </c>
      <c r="G2" s="2" t="s">
        <v>11</v>
      </c>
      <c r="H2" s="2" t="s">
        <v>11</v>
      </c>
      <c r="I2" s="2" t="s">
        <v>11</v>
      </c>
      <c r="J2" s="2" t="s">
        <v>47</v>
      </c>
      <c r="K2" s="2" t="s">
        <v>44</v>
      </c>
    </row>
    <row r="3" ht="70" customHeight="1" spans="1:11">
      <c r="A3" s="2" t="s">
        <v>325</v>
      </c>
      <c r="B3" s="2">
        <v>10</v>
      </c>
      <c r="C3" s="2" t="s">
        <v>326</v>
      </c>
      <c r="D3" s="2" t="s">
        <v>327</v>
      </c>
      <c r="E3" s="2" t="s">
        <v>10</v>
      </c>
      <c r="F3" s="2" t="s">
        <v>64</v>
      </c>
      <c r="G3" s="2" t="s">
        <v>11</v>
      </c>
      <c r="H3" s="2" t="s">
        <v>328</v>
      </c>
      <c r="I3" s="2" t="s">
        <v>10</v>
      </c>
      <c r="J3" s="2" t="s">
        <v>329</v>
      </c>
      <c r="K3" s="2" t="s">
        <v>44</v>
      </c>
    </row>
    <row r="4" ht="56" customHeight="1" spans="1:11">
      <c r="A4" s="2" t="s">
        <v>330</v>
      </c>
      <c r="B4" s="2">
        <v>12</v>
      </c>
      <c r="C4" s="2" t="s">
        <v>331</v>
      </c>
      <c r="D4" s="2" t="s">
        <v>327</v>
      </c>
      <c r="E4" s="2" t="s">
        <v>11</v>
      </c>
      <c r="F4" s="2" t="s">
        <v>6</v>
      </c>
      <c r="G4" s="2" t="s">
        <v>11</v>
      </c>
      <c r="H4" s="2" t="s">
        <v>11</v>
      </c>
      <c r="I4" s="2" t="s">
        <v>11</v>
      </c>
      <c r="J4" s="2" t="s">
        <v>47</v>
      </c>
      <c r="K4" s="2" t="s">
        <v>44</v>
      </c>
    </row>
    <row r="5" ht="140" customHeight="1" spans="1:11">
      <c r="A5" s="2" t="s">
        <v>332</v>
      </c>
      <c r="B5" s="2">
        <v>15</v>
      </c>
      <c r="C5" s="2" t="s">
        <v>333</v>
      </c>
      <c r="D5" s="2" t="s">
        <v>85</v>
      </c>
      <c r="E5" s="2" t="s">
        <v>11</v>
      </c>
      <c r="F5" s="2" t="s">
        <v>6</v>
      </c>
      <c r="G5" s="2" t="s">
        <v>11</v>
      </c>
      <c r="H5" s="2" t="s">
        <v>11</v>
      </c>
      <c r="I5" s="2" t="s">
        <v>11</v>
      </c>
      <c r="J5" s="2" t="s">
        <v>47</v>
      </c>
      <c r="K5" s="2" t="s">
        <v>44</v>
      </c>
    </row>
    <row r="6" ht="154" customHeight="1" spans="1:11">
      <c r="A6" s="2" t="s">
        <v>334</v>
      </c>
      <c r="B6" s="2">
        <v>23</v>
      </c>
      <c r="C6" s="2" t="s">
        <v>335</v>
      </c>
      <c r="D6" s="2" t="s">
        <v>336</v>
      </c>
      <c r="E6" s="2" t="s">
        <v>10</v>
      </c>
      <c r="F6" s="2" t="s">
        <v>5</v>
      </c>
      <c r="G6" s="2" t="s">
        <v>10</v>
      </c>
      <c r="H6" s="2" t="s">
        <v>10</v>
      </c>
      <c r="I6" s="2" t="s">
        <v>10</v>
      </c>
      <c r="J6" s="2" t="s">
        <v>47</v>
      </c>
      <c r="K6" s="2" t="s">
        <v>44</v>
      </c>
    </row>
    <row r="7" ht="56" customHeight="1" spans="1:11">
      <c r="A7" s="2" t="s">
        <v>337</v>
      </c>
      <c r="B7" s="2">
        <v>25</v>
      </c>
      <c r="C7" s="2" t="s">
        <v>338</v>
      </c>
      <c r="D7" s="2" t="s">
        <v>339</v>
      </c>
      <c r="E7" s="2" t="s">
        <v>11</v>
      </c>
      <c r="F7" s="2" t="s">
        <v>6</v>
      </c>
      <c r="G7" s="2" t="s">
        <v>340</v>
      </c>
      <c r="H7" s="2" t="s">
        <v>11</v>
      </c>
      <c r="I7" s="2" t="s">
        <v>11</v>
      </c>
      <c r="J7" s="2" t="s">
        <v>47</v>
      </c>
      <c r="K7" s="2" t="s">
        <v>44</v>
      </c>
    </row>
    <row r="8" ht="196" customHeight="1" spans="1:11">
      <c r="A8" s="2" t="s">
        <v>341</v>
      </c>
      <c r="B8" s="2">
        <v>30</v>
      </c>
      <c r="C8" s="2" t="s">
        <v>342</v>
      </c>
      <c r="D8" s="2" t="s">
        <v>343</v>
      </c>
      <c r="E8" s="2" t="s">
        <v>10</v>
      </c>
      <c r="F8" s="2" t="s">
        <v>5</v>
      </c>
      <c r="G8" s="2" t="s">
        <v>344</v>
      </c>
      <c r="H8" s="2" t="s">
        <v>10</v>
      </c>
      <c r="I8" s="2" t="s">
        <v>10</v>
      </c>
      <c r="J8" s="2" t="s">
        <v>47</v>
      </c>
      <c r="K8" s="2" t="s">
        <v>44</v>
      </c>
    </row>
    <row r="9" ht="42" customHeight="1" spans="1:11">
      <c r="A9" s="2" t="s">
        <v>345</v>
      </c>
      <c r="B9" s="2">
        <v>33</v>
      </c>
      <c r="C9" s="2" t="s">
        <v>346</v>
      </c>
      <c r="D9" s="2" t="s">
        <v>347</v>
      </c>
      <c r="E9" s="2" t="s">
        <v>11</v>
      </c>
      <c r="F9" s="2" t="s">
        <v>6</v>
      </c>
      <c r="G9" s="2" t="s">
        <v>11</v>
      </c>
      <c r="H9" s="2" t="s">
        <v>11</v>
      </c>
      <c r="I9" s="2" t="s">
        <v>11</v>
      </c>
      <c r="J9" s="2" t="s">
        <v>147</v>
      </c>
      <c r="K9" s="2" t="s">
        <v>44</v>
      </c>
    </row>
    <row r="10" ht="42" customHeight="1" spans="1:11">
      <c r="A10" s="2" t="s">
        <v>348</v>
      </c>
      <c r="B10" s="2">
        <v>35</v>
      </c>
      <c r="C10" s="2" t="s">
        <v>349</v>
      </c>
      <c r="D10" s="2" t="s">
        <v>350</v>
      </c>
      <c r="E10" s="2" t="s">
        <v>11</v>
      </c>
      <c r="F10" s="2" t="s">
        <v>6</v>
      </c>
      <c r="G10" s="2" t="s">
        <v>11</v>
      </c>
      <c r="H10" s="2" t="s">
        <v>11</v>
      </c>
      <c r="I10" s="2" t="s">
        <v>11</v>
      </c>
      <c r="J10" s="2" t="s">
        <v>147</v>
      </c>
      <c r="K10" s="2" t="s">
        <v>44</v>
      </c>
    </row>
    <row r="11" ht="42" customHeight="1" spans="1:11">
      <c r="A11" s="2" t="s">
        <v>351</v>
      </c>
      <c r="B11" s="2">
        <v>40</v>
      </c>
      <c r="C11" s="2" t="s">
        <v>352</v>
      </c>
      <c r="D11" s="2" t="s">
        <v>353</v>
      </c>
      <c r="E11" s="2" t="s">
        <v>11</v>
      </c>
      <c r="F11" s="2" t="s">
        <v>6</v>
      </c>
      <c r="G11" s="2" t="s">
        <v>11</v>
      </c>
      <c r="H11" s="2" t="s">
        <v>11</v>
      </c>
      <c r="I11" s="2" t="s">
        <v>11</v>
      </c>
      <c r="J11" s="2" t="s">
        <v>163</v>
      </c>
      <c r="K11" s="2" t="s">
        <v>44</v>
      </c>
    </row>
    <row r="12" ht="42" customHeight="1" spans="1:11">
      <c r="A12" s="2" t="s">
        <v>354</v>
      </c>
      <c r="B12" s="2">
        <v>47</v>
      </c>
      <c r="C12" s="2" t="s">
        <v>355</v>
      </c>
      <c r="D12" s="2" t="s">
        <v>356</v>
      </c>
      <c r="E12" s="2" t="s">
        <v>10</v>
      </c>
      <c r="F12" s="2" t="s">
        <v>5</v>
      </c>
      <c r="G12" s="2" t="s">
        <v>10</v>
      </c>
      <c r="H12" s="2" t="s">
        <v>10</v>
      </c>
      <c r="I12" s="2" t="s">
        <v>10</v>
      </c>
      <c r="J12" s="2" t="s">
        <v>44</v>
      </c>
      <c r="K12" s="2" t="s">
        <v>44</v>
      </c>
    </row>
    <row r="13" ht="56" customHeight="1" spans="1:11">
      <c r="A13" s="2" t="s">
        <v>357</v>
      </c>
      <c r="B13" s="2">
        <v>55</v>
      </c>
      <c r="C13" s="2" t="s">
        <v>358</v>
      </c>
      <c r="D13" s="2" t="s">
        <v>359</v>
      </c>
      <c r="E13" s="2" t="s">
        <v>10</v>
      </c>
      <c r="F13" s="2" t="s">
        <v>64</v>
      </c>
      <c r="G13" s="2" t="s">
        <v>10</v>
      </c>
      <c r="H13" s="2" t="s">
        <v>11</v>
      </c>
      <c r="I13" s="2" t="s">
        <v>10</v>
      </c>
      <c r="J13" s="2" t="s">
        <v>44</v>
      </c>
      <c r="K13" s="2" t="s">
        <v>44</v>
      </c>
    </row>
    <row r="14" ht="126" customHeight="1" spans="1:11">
      <c r="A14" s="2" t="s">
        <v>360</v>
      </c>
      <c r="B14" s="2">
        <v>60</v>
      </c>
      <c r="C14" s="2" t="s">
        <v>361</v>
      </c>
      <c r="D14" s="2" t="s">
        <v>216</v>
      </c>
      <c r="E14" s="2" t="s">
        <v>10</v>
      </c>
      <c r="F14" s="2" t="s">
        <v>5</v>
      </c>
      <c r="G14" s="2" t="s">
        <v>10</v>
      </c>
      <c r="H14" s="2" t="s">
        <v>10</v>
      </c>
      <c r="I14" s="2" t="s">
        <v>10</v>
      </c>
      <c r="J14" s="2" t="s">
        <v>44</v>
      </c>
      <c r="K14" s="2" t="s">
        <v>44</v>
      </c>
    </row>
    <row r="15" ht="56" customHeight="1" spans="1:11">
      <c r="A15" s="2" t="s">
        <v>362</v>
      </c>
      <c r="B15" s="2">
        <v>65</v>
      </c>
      <c r="C15" s="2" t="s">
        <v>363</v>
      </c>
      <c r="D15" s="2" t="s">
        <v>364</v>
      </c>
      <c r="E15" s="2" t="s">
        <v>11</v>
      </c>
      <c r="F15" s="2" t="s">
        <v>64</v>
      </c>
      <c r="G15" s="2" t="s">
        <v>365</v>
      </c>
      <c r="H15" s="2" t="s">
        <v>11</v>
      </c>
      <c r="I15" s="2" t="s">
        <v>11</v>
      </c>
      <c r="J15" s="2" t="s">
        <v>44</v>
      </c>
      <c r="K15" s="2" t="s">
        <v>44</v>
      </c>
    </row>
    <row r="16" ht="56" customHeight="1" spans="1:11">
      <c r="A16" s="2" t="s">
        <v>366</v>
      </c>
      <c r="B16" s="2">
        <v>66</v>
      </c>
      <c r="C16" s="2" t="s">
        <v>367</v>
      </c>
      <c r="D16" s="2" t="s">
        <v>368</v>
      </c>
      <c r="E16" s="2" t="s">
        <v>10</v>
      </c>
      <c r="F16" s="2" t="s">
        <v>5</v>
      </c>
      <c r="G16" s="2" t="s">
        <v>10</v>
      </c>
      <c r="H16" s="2" t="s">
        <v>10</v>
      </c>
      <c r="I16" s="2" t="s">
        <v>10</v>
      </c>
      <c r="J16" s="2" t="s">
        <v>44</v>
      </c>
      <c r="K16" s="2" t="s">
        <v>44</v>
      </c>
    </row>
    <row r="17" ht="56" customHeight="1" spans="1:11">
      <c r="A17" s="2" t="s">
        <v>369</v>
      </c>
      <c r="B17" s="2">
        <v>69</v>
      </c>
      <c r="C17" s="2" t="s">
        <v>370</v>
      </c>
      <c r="D17" s="2" t="s">
        <v>231</v>
      </c>
      <c r="E17" s="2" t="s">
        <v>11</v>
      </c>
      <c r="F17" s="2" t="s">
        <v>6</v>
      </c>
      <c r="G17" s="2" t="s">
        <v>11</v>
      </c>
      <c r="H17" s="2" t="s">
        <v>11</v>
      </c>
      <c r="I17" s="2" t="s">
        <v>11</v>
      </c>
      <c r="J17" s="2" t="s">
        <v>44</v>
      </c>
      <c r="K17" s="2" t="s">
        <v>44</v>
      </c>
    </row>
    <row r="18" ht="84" customHeight="1" spans="1:11">
      <c r="A18" s="2" t="s">
        <v>371</v>
      </c>
      <c r="B18" s="2">
        <v>71</v>
      </c>
      <c r="C18" s="2" t="s">
        <v>372</v>
      </c>
      <c r="D18" s="2" t="s">
        <v>231</v>
      </c>
      <c r="E18" s="2" t="s">
        <v>11</v>
      </c>
      <c r="F18" s="2" t="s">
        <v>64</v>
      </c>
      <c r="G18" s="2" t="s">
        <v>11</v>
      </c>
      <c r="H18" s="2" t="s">
        <v>11</v>
      </c>
      <c r="I18" s="2" t="s">
        <v>11</v>
      </c>
      <c r="J18" s="2" t="s">
        <v>44</v>
      </c>
      <c r="K18" s="2" t="s">
        <v>44</v>
      </c>
    </row>
    <row r="19" ht="84" customHeight="1" spans="1:11">
      <c r="A19" s="2" t="s">
        <v>373</v>
      </c>
      <c r="B19" s="2">
        <v>76</v>
      </c>
      <c r="C19" s="2" t="s">
        <v>374</v>
      </c>
      <c r="D19" s="2" t="s">
        <v>375</v>
      </c>
      <c r="E19" s="2" t="s">
        <v>10</v>
      </c>
      <c r="F19" s="2" t="s">
        <v>5</v>
      </c>
      <c r="G19" s="2" t="s">
        <v>10</v>
      </c>
      <c r="H19" s="2" t="s">
        <v>10</v>
      </c>
      <c r="I19" s="2" t="s">
        <v>10</v>
      </c>
      <c r="J19" s="2" t="s">
        <v>44</v>
      </c>
      <c r="K19" s="2" t="s">
        <v>44</v>
      </c>
    </row>
    <row r="20" ht="84" customHeight="1" spans="1:11">
      <c r="A20" s="2" t="s">
        <v>376</v>
      </c>
      <c r="B20" s="2">
        <v>80</v>
      </c>
      <c r="C20" s="2" t="s">
        <v>377</v>
      </c>
      <c r="D20" s="2" t="s">
        <v>252</v>
      </c>
      <c r="E20" s="2" t="s">
        <v>11</v>
      </c>
      <c r="F20" s="2" t="s">
        <v>64</v>
      </c>
      <c r="G20" s="2" t="s">
        <v>378</v>
      </c>
      <c r="H20" s="2" t="s">
        <v>11</v>
      </c>
      <c r="I20" s="2" t="s">
        <v>11</v>
      </c>
      <c r="J20" s="2" t="s">
        <v>44</v>
      </c>
      <c r="K20" s="2" t="s">
        <v>44</v>
      </c>
    </row>
    <row r="21" ht="70" customHeight="1" spans="1:11">
      <c r="A21" s="2" t="s">
        <v>379</v>
      </c>
      <c r="B21" s="2">
        <v>81</v>
      </c>
      <c r="C21" s="2" t="s">
        <v>380</v>
      </c>
      <c r="D21" s="2" t="s">
        <v>381</v>
      </c>
      <c r="E21" s="2" t="s">
        <v>10</v>
      </c>
      <c r="F21" s="2" t="s">
        <v>5</v>
      </c>
      <c r="G21" s="2" t="s">
        <v>10</v>
      </c>
      <c r="H21" s="2" t="s">
        <v>10</v>
      </c>
      <c r="I21" s="2" t="s">
        <v>10</v>
      </c>
      <c r="J21" s="2" t="s">
        <v>44</v>
      </c>
      <c r="K21" s="2" t="s">
        <v>44</v>
      </c>
    </row>
    <row r="22" ht="70" customHeight="1" spans="1:11">
      <c r="A22" s="2" t="s">
        <v>382</v>
      </c>
      <c r="B22" s="2">
        <v>101</v>
      </c>
      <c r="C22" s="2" t="s">
        <v>383</v>
      </c>
      <c r="D22" s="2" t="s">
        <v>384</v>
      </c>
      <c r="E22" s="2" t="s">
        <v>11</v>
      </c>
      <c r="F22" s="2" t="s">
        <v>6</v>
      </c>
      <c r="G22" s="2" t="s">
        <v>11</v>
      </c>
      <c r="H22" s="2" t="s">
        <v>11</v>
      </c>
      <c r="I22" s="2" t="s">
        <v>11</v>
      </c>
      <c r="J22" s="2" t="s">
        <v>44</v>
      </c>
      <c r="K22" s="2" t="s">
        <v>44</v>
      </c>
    </row>
  </sheetData>
  <conditionalFormatting sqref="F2:F22">
    <cfRule type="containsText" dxfId="0" priority="1" operator="between" text="Edge case">
      <formula>NOT(ISERROR(SEARCH("Edge case",F2)))</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Split Summary</vt:lpstr>
      <vt:lpstr>Dev</vt:lpstr>
      <vt:lpstr>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方清昱</cp:lastModifiedBy>
  <dcterms:created xsi:type="dcterms:W3CDTF">2026-10-27T08:20:00Z</dcterms:created>
  <dcterms:modified xsi:type="dcterms:W3CDTF">2026-10-28T07:34:54Z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873EF8BF0F004B98B0B10F1843D72489_12</vt:lpwstr>
  </property>
  <property fmtid="{D5CDD505-2E9C-101B-9397-08002B2CF9AE}" pid="3" name="KSOProductBuildVer">
    <vt:lpwstr>2052-12.1.0.28043</vt:lpwstr>
  </property>
  <property fmtid="{D5CDD505-2E9C-101B-9397-08002B2CF9AE}" pid="4" name="CalculationRule">
    <vt:i4>0</vt:i4>
  </property>
</Properties>
</file>